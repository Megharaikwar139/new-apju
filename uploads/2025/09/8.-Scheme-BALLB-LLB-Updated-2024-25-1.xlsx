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Dr. A.P.J. Abdul Kalam University (DC)\BOS-2024\"/>
    </mc:Choice>
  </mc:AlternateContent>
  <xr:revisionPtr revIDLastSave="0" documentId="13_ncr:1_{0E354F09-5A94-4FF2-92CA-D3ACA02DC3CB}" xr6:coauthVersionLast="47" xr6:coauthVersionMax="47" xr10:uidLastSave="{00000000-0000-0000-0000-000000000000}"/>
  <bookViews>
    <workbookView xWindow="-120" yWindow="-120" windowWidth="20730" windowHeight="11040" tabRatio="958" activeTab="7" xr2:uid="{00000000-000D-0000-FFFF-FFFF00000000}"/>
  </bookViews>
  <sheets>
    <sheet name="LLB I &amp; II Sem" sheetId="1" r:id="rId1"/>
    <sheet name="LLB III &amp; IV Sem" sheetId="2" r:id="rId2"/>
    <sheet name="LLB V &amp; VI Sem" sheetId="3" r:id="rId3"/>
    <sheet name="BALLB I &amp; II Sem" sheetId="4" r:id="rId4"/>
    <sheet name="BA LLB III &amp; IV Sem" sheetId="5" r:id="rId5"/>
    <sheet name="BA LLB V &amp; VI" sheetId="6" r:id="rId6"/>
    <sheet name="BA LLB VII &amp; VIII" sheetId="7" r:id="rId7"/>
    <sheet name="BA LLB XI &amp; X" sheetId="8" r:id="rId8"/>
  </sheets>
  <definedNames>
    <definedName name="_xlnm.Print_Area" localSheetId="4">'BA LLB III &amp; IV Sem'!$A$1:$J$59</definedName>
    <definedName name="_xlnm.Print_Area" localSheetId="5">'BA LLB V &amp; VI'!$A$1:$J$45</definedName>
    <definedName name="_xlnm.Print_Area" localSheetId="6">'BA LLB VII &amp; VIII'!$A$1:$J$47</definedName>
    <definedName name="_xlnm.Print_Area" localSheetId="7">'BA LLB XI &amp; X'!$A$1:$J$46</definedName>
    <definedName name="_xlnm.Print_Area" localSheetId="3">'BALLB I &amp; II Sem'!$A$1:$J$46</definedName>
    <definedName name="_xlnm.Print_Area" localSheetId="0">'LLB I &amp; II Sem'!$A$1:$J$44</definedName>
    <definedName name="_xlnm.Print_Area" localSheetId="1">'LLB III &amp; IV Sem'!$A$1:$J$44</definedName>
    <definedName name="_xlnm.Print_Area" localSheetId="2">'LLB V &amp; VI Sem'!$A$1:$J$45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8" l="1"/>
  <c r="J17" i="8"/>
  <c r="J39" i="7"/>
  <c r="J17" i="7"/>
  <c r="J16" i="7"/>
  <c r="J38" i="7"/>
  <c r="J38" i="8"/>
  <c r="J17" i="3"/>
  <c r="J37" i="3"/>
  <c r="J40" i="2"/>
  <c r="J39" i="2"/>
  <c r="J16" i="2"/>
  <c r="J38" i="1"/>
  <c r="J37" i="1"/>
  <c r="J16" i="1"/>
  <c r="J35" i="8"/>
  <c r="J34" i="8"/>
  <c r="J33" i="8"/>
  <c r="J32" i="8"/>
  <c r="J13" i="8"/>
  <c r="J12" i="8"/>
  <c r="J11" i="8"/>
  <c r="J10" i="8"/>
  <c r="J35" i="7"/>
  <c r="J34" i="7"/>
  <c r="J33" i="7"/>
  <c r="J32" i="7"/>
  <c r="J13" i="7"/>
  <c r="J12" i="7"/>
  <c r="J11" i="7"/>
  <c r="J10" i="7"/>
  <c r="J36" i="6"/>
  <c r="J35" i="6"/>
  <c r="J34" i="6"/>
  <c r="J33" i="6"/>
  <c r="J32" i="6"/>
  <c r="J31" i="6"/>
  <c r="J15" i="6"/>
  <c r="J14" i="6"/>
  <c r="J13" i="6"/>
  <c r="J12" i="6"/>
  <c r="J11" i="6"/>
  <c r="J10" i="6"/>
  <c r="J37" i="5"/>
  <c r="J36" i="5"/>
  <c r="J35" i="5"/>
  <c r="J34" i="5"/>
  <c r="J33" i="5"/>
  <c r="J32" i="5"/>
  <c r="J10" i="3"/>
  <c r="J11" i="3"/>
  <c r="J12" i="3"/>
  <c r="J13" i="3"/>
  <c r="J14" i="3"/>
  <c r="J15" i="5"/>
  <c r="J14" i="5"/>
  <c r="J13" i="5"/>
  <c r="J12" i="5"/>
  <c r="J11" i="5"/>
  <c r="J10" i="5"/>
  <c r="J15" i="4"/>
  <c r="J14" i="4"/>
  <c r="J13" i="4"/>
  <c r="J12" i="4"/>
  <c r="J11" i="4"/>
  <c r="J10" i="4"/>
  <c r="J33" i="4"/>
  <c r="J34" i="4"/>
  <c r="J35" i="4"/>
  <c r="J36" i="4"/>
  <c r="J37" i="4"/>
  <c r="J32" i="4"/>
  <c r="J31" i="3"/>
  <c r="J38" i="3" s="1"/>
  <c r="J35" i="3"/>
  <c r="J34" i="3"/>
  <c r="J33" i="3"/>
  <c r="J32" i="3"/>
  <c r="J38" i="2"/>
  <c r="J37" i="2"/>
  <c r="J36" i="2"/>
  <c r="J35" i="2"/>
  <c r="J34" i="2"/>
  <c r="J15" i="2"/>
  <c r="J13" i="2"/>
  <c r="J12" i="2"/>
  <c r="J11" i="2"/>
  <c r="J10" i="2"/>
  <c r="J17" i="2" s="1"/>
  <c r="J36" i="1"/>
  <c r="J35" i="1"/>
  <c r="J34" i="1"/>
  <c r="J33" i="1"/>
  <c r="J32" i="1"/>
  <c r="J31" i="1"/>
  <c r="J11" i="1"/>
  <c r="J12" i="1"/>
  <c r="J13" i="1"/>
  <c r="J14" i="1"/>
  <c r="J15" i="1"/>
  <c r="J10" i="1"/>
  <c r="J17" i="1" s="1"/>
  <c r="J38" i="6" l="1"/>
  <c r="J17" i="6"/>
  <c r="J39" i="5"/>
  <c r="J17" i="5"/>
  <c r="J39" i="4"/>
  <c r="J17" i="4"/>
</calcChain>
</file>

<file path=xl/sharedStrings.xml><?xml version="1.0" encoding="utf-8"?>
<sst xmlns="http://schemas.openxmlformats.org/spreadsheetml/2006/main" count="801" uniqueCount="240">
  <si>
    <t xml:space="preserve">Dr. A.P.J. Abdul Kalam University, Indore (M.P) </t>
  </si>
  <si>
    <t>Department of Law</t>
  </si>
  <si>
    <t>S.N.</t>
  </si>
  <si>
    <t>Theory Max. Marks</t>
  </si>
  <si>
    <t>Subject Name</t>
  </si>
  <si>
    <t>Subject Code</t>
  </si>
  <si>
    <t>Internal</t>
  </si>
  <si>
    <t>External</t>
  </si>
  <si>
    <t>Practical Max Marks</t>
  </si>
  <si>
    <t>Max Marks</t>
  </si>
  <si>
    <t>Min Marks</t>
  </si>
  <si>
    <t>Total</t>
  </si>
  <si>
    <t>Non-Grading</t>
  </si>
  <si>
    <t>Scheme of Examination (With Effective from academic Session: 2024 - 25)</t>
  </si>
  <si>
    <t>Family Law-I (Hindu Law)</t>
  </si>
  <si>
    <t>Labour and Industrial Law</t>
  </si>
  <si>
    <t>Law of Contract-I</t>
  </si>
  <si>
    <t>Constitutional Law-I</t>
  </si>
  <si>
    <t>Women and Criminal Law</t>
  </si>
  <si>
    <t>LLB - 101</t>
  </si>
  <si>
    <t>LLB - 102</t>
  </si>
  <si>
    <t>LLB - 103</t>
  </si>
  <si>
    <t>LLB - 104</t>
  </si>
  <si>
    <t>LLB - 105</t>
  </si>
  <si>
    <t>LLB - 106</t>
  </si>
  <si>
    <t>−</t>
  </si>
  <si>
    <t>Total:</t>
  </si>
  <si>
    <t>Family Law-II (Muslim Law)</t>
  </si>
  <si>
    <t>Offence against Child and Juvenile offences</t>
  </si>
  <si>
    <t xml:space="preserve">Constitutional Law-II </t>
  </si>
  <si>
    <t>Law of Contract-II</t>
  </si>
  <si>
    <t>Human Right Law and Practice</t>
  </si>
  <si>
    <t>LLB - 201</t>
  </si>
  <si>
    <t>LLB - 202</t>
  </si>
  <si>
    <t>LLB - 203</t>
  </si>
  <si>
    <t>LLB - 204</t>
  </si>
  <si>
    <t>LLB - 205</t>
  </si>
  <si>
    <t>LLB - 206</t>
  </si>
  <si>
    <t>Administrative Law</t>
  </si>
  <si>
    <t xml:space="preserve">LLB – 301   </t>
  </si>
  <si>
    <t>LLB – 302</t>
  </si>
  <si>
    <t>LLB – 303</t>
  </si>
  <si>
    <t>LLB – 304</t>
  </si>
  <si>
    <t>LLB – 305</t>
  </si>
  <si>
    <t>LLB – 306</t>
  </si>
  <si>
    <t>* 20 marks Subject viva voce is compulsory for Students</t>
  </si>
  <si>
    <t>20*</t>
  </si>
  <si>
    <t>Alternate Dispute Resolution</t>
  </si>
  <si>
    <t>Environmental Law</t>
  </si>
  <si>
    <t>Principle of Taxation Law</t>
  </si>
  <si>
    <t>Company Law</t>
  </si>
  <si>
    <t>International Public Law</t>
  </si>
  <si>
    <t>Media and Law</t>
  </si>
  <si>
    <t>LLB - 401</t>
  </si>
  <si>
    <t>LLB - 402</t>
  </si>
  <si>
    <t>LLB - 403</t>
  </si>
  <si>
    <t>LLB - 404</t>
  </si>
  <si>
    <t>LLB - 405</t>
  </si>
  <si>
    <t>LLB - 406</t>
  </si>
  <si>
    <t>Health Law</t>
  </si>
  <si>
    <t>Professional Ethics and Professional Accounting System</t>
  </si>
  <si>
    <t>Local self-government including Panchayat Administration</t>
  </si>
  <si>
    <t>Intellectual Property Law</t>
  </si>
  <si>
    <t>Property Law</t>
  </si>
  <si>
    <t>Interpretation of statutes and Principles of Legislation</t>
  </si>
  <si>
    <t>Drafting, Pleading and Conveyance</t>
  </si>
  <si>
    <t>*Out of hundred marks 90 marks for two components and viva of 10 marks is compulsory.</t>
  </si>
  <si>
    <t>LLB – 501</t>
  </si>
  <si>
    <t>LLB – 502</t>
  </si>
  <si>
    <t>LLB – 503</t>
  </si>
  <si>
    <t>LLB – 504</t>
  </si>
  <si>
    <t>LLB – 505</t>
  </si>
  <si>
    <t>LLB – 506</t>
  </si>
  <si>
    <t>Insurance Law</t>
  </si>
  <si>
    <t>Banking Law</t>
  </si>
  <si>
    <t>Penology and Victimology</t>
  </si>
  <si>
    <t>Moot Court (Clinical Course)</t>
  </si>
  <si>
    <t>Information Technology Law</t>
  </si>
  <si>
    <t>Land Laws</t>
  </si>
  <si>
    <t>LLB – 601</t>
  </si>
  <si>
    <t>LLB – 602</t>
  </si>
  <si>
    <t>LLB – 603</t>
  </si>
  <si>
    <t>LLB – 604</t>
  </si>
  <si>
    <t>LLB – 605</t>
  </si>
  <si>
    <t>LLB – 606</t>
  </si>
  <si>
    <t>100*</t>
  </si>
  <si>
    <t>*Out of hundred marks 90 marks for three components and viva of 10 marks is compulsory.</t>
  </si>
  <si>
    <t>Program: B.A.LL.B.</t>
  </si>
  <si>
    <t>Program: LL.B.</t>
  </si>
  <si>
    <t>BALLB-111</t>
  </si>
  <si>
    <t>BALLB-112</t>
  </si>
  <si>
    <t>BALLB-113</t>
  </si>
  <si>
    <t>BALLB-114</t>
  </si>
  <si>
    <t>BALLB-115</t>
  </si>
  <si>
    <t>BALLB-116</t>
  </si>
  <si>
    <t>BALLB-117</t>
  </si>
  <si>
    <t>BALLB-121</t>
  </si>
  <si>
    <t>BALLB-122</t>
  </si>
  <si>
    <t>BALLB-123</t>
  </si>
  <si>
    <t>BALLB-124</t>
  </si>
  <si>
    <t>BALLB-125</t>
  </si>
  <si>
    <t>BALLB-126</t>
  </si>
  <si>
    <t>BALLB-127</t>
  </si>
  <si>
    <t>BALLB-211</t>
  </si>
  <si>
    <t>BALLB-222</t>
  </si>
  <si>
    <t>BALLB-212</t>
  </si>
  <si>
    <t>BALLB-213</t>
  </si>
  <si>
    <t>BALLB-214</t>
  </si>
  <si>
    <t>BALLB-215</t>
  </si>
  <si>
    <t>BALLB-216</t>
  </si>
  <si>
    <t>BALLB-217</t>
  </si>
  <si>
    <t>BALLB-221</t>
  </si>
  <si>
    <t>BALLB-223</t>
  </si>
  <si>
    <t>BALLB-224</t>
  </si>
  <si>
    <t>BALLB-225</t>
  </si>
  <si>
    <t>BALLB-226</t>
  </si>
  <si>
    <t>BALLB-227</t>
  </si>
  <si>
    <t>BALLB-311</t>
  </si>
  <si>
    <t>BALLB-312</t>
  </si>
  <si>
    <t>BALLB-313</t>
  </si>
  <si>
    <t>BALLB-314</t>
  </si>
  <si>
    <t>BALLB-315</t>
  </si>
  <si>
    <t>BALLB-316</t>
  </si>
  <si>
    <t>BALLB-317</t>
  </si>
  <si>
    <t>BALLB-321</t>
  </si>
  <si>
    <t>BALLB-322</t>
  </si>
  <si>
    <t>BALLB-323</t>
  </si>
  <si>
    <t>BALLB-324</t>
  </si>
  <si>
    <t>BALLB-325</t>
  </si>
  <si>
    <t>BALLB-326</t>
  </si>
  <si>
    <t>BALLB-327</t>
  </si>
  <si>
    <t>BALLB-411</t>
  </si>
  <si>
    <t>BALLB-412</t>
  </si>
  <si>
    <t>BALLB-413</t>
  </si>
  <si>
    <t>BALLB-414</t>
  </si>
  <si>
    <t>BALLB-415</t>
  </si>
  <si>
    <t>BALLB-416</t>
  </si>
  <si>
    <t xml:space="preserve">* 20 marks Subject viva voce is compulsory for Students </t>
  </si>
  <si>
    <t>BALLB-421</t>
  </si>
  <si>
    <t>BALLB-422</t>
  </si>
  <si>
    <t>BALLB-423</t>
  </si>
  <si>
    <t>BALLB-424</t>
  </si>
  <si>
    <t>BALLB-425</t>
  </si>
  <si>
    <t>BALLB-426</t>
  </si>
  <si>
    <t>BALLB-511</t>
  </si>
  <si>
    <t>BALLB-522</t>
  </si>
  <si>
    <t>BALLB-512</t>
  </si>
  <si>
    <t>BALLB-513</t>
  </si>
  <si>
    <t>BALLB-514</t>
  </si>
  <si>
    <t>BALLB-515</t>
  </si>
  <si>
    <t>BALLB-516</t>
  </si>
  <si>
    <t>BALLB-521</t>
  </si>
  <si>
    <t>BALLB-523</t>
  </si>
  <si>
    <t>BALLB-524</t>
  </si>
  <si>
    <t>BALLB-525</t>
  </si>
  <si>
    <t>BALLB-526</t>
  </si>
  <si>
    <t xml:space="preserve">Year: 5th   </t>
  </si>
  <si>
    <t xml:space="preserve">Semester: 10th </t>
  </si>
  <si>
    <t xml:space="preserve">Semester: 9th </t>
  </si>
  <si>
    <t xml:space="preserve">Year: 4th   </t>
  </si>
  <si>
    <t xml:space="preserve">Semester:7th </t>
  </si>
  <si>
    <t xml:space="preserve">Semester:8th </t>
  </si>
  <si>
    <t xml:space="preserve">Year: 3rd   </t>
  </si>
  <si>
    <t xml:space="preserve">Semester:5th </t>
  </si>
  <si>
    <t xml:space="preserve">Semester:6th </t>
  </si>
  <si>
    <t xml:space="preserve">Year: 2nd   </t>
  </si>
  <si>
    <t xml:space="preserve">Semester:3rd </t>
  </si>
  <si>
    <t xml:space="preserve">Semester:4th </t>
  </si>
  <si>
    <t xml:space="preserve">Year: 1st </t>
  </si>
  <si>
    <t xml:space="preserve">Semester:1st </t>
  </si>
  <si>
    <t>Semester:2nd</t>
  </si>
  <si>
    <t>Year: 2nd</t>
  </si>
  <si>
    <t>Semester:4th</t>
  </si>
  <si>
    <t xml:space="preserve">Year: 3rd </t>
  </si>
  <si>
    <t>Semester:5th</t>
  </si>
  <si>
    <t>Semester:6th</t>
  </si>
  <si>
    <t>Principles of Taxation Law</t>
  </si>
  <si>
    <t>Public International Law</t>
  </si>
  <si>
    <t>Moot Court Exercise and Internship</t>
  </si>
  <si>
    <t>Comprehensive Viva Voce</t>
  </si>
  <si>
    <t>Civil Procedure Code and Limitation Act</t>
  </si>
  <si>
    <t>Probation and Parole</t>
  </si>
  <si>
    <t xml:space="preserve">Information Technology </t>
  </si>
  <si>
    <t>Drafting, Pleading and
Conveyance</t>
  </si>
  <si>
    <t>Land Laws Including Tenure&amp; Tenancy System</t>
  </si>
  <si>
    <t>Penology Victimology</t>
  </si>
  <si>
    <t>Law On Corporate Finance</t>
  </si>
  <si>
    <t>Political Science-V</t>
  </si>
  <si>
    <t>Labour And Industrial Law</t>
  </si>
  <si>
    <t>Gender Justice &amp; Feminist
Jurisprudence</t>
  </si>
  <si>
    <t>Interpretation Of Statutes And
Principles Of Legislation</t>
  </si>
  <si>
    <t>Hindi Language-I</t>
  </si>
  <si>
    <t>Offence Against Child And Juvenile</t>
  </si>
  <si>
    <t>History-III</t>
  </si>
  <si>
    <t>Political Science-IV</t>
  </si>
  <si>
    <t>Political Science-VI</t>
  </si>
  <si>
    <t>Hindi Language-III</t>
  </si>
  <si>
    <t>Hindi Language-II</t>
  </si>
  <si>
    <t>Legal Language</t>
  </si>
  <si>
    <t>Political Science-III</t>
  </si>
  <si>
    <t>Economics-III</t>
  </si>
  <si>
    <t>Constitutional Law-II</t>
  </si>
  <si>
    <t>English-I</t>
  </si>
  <si>
    <t>Political Science-I</t>
  </si>
  <si>
    <t>History-I</t>
  </si>
  <si>
    <t>Economics-I</t>
  </si>
  <si>
    <t>Law Of Contract-I</t>
  </si>
  <si>
    <t>English-II</t>
  </si>
  <si>
    <t>Political Science-II</t>
  </si>
  <si>
    <t>History-II</t>
  </si>
  <si>
    <t>Law Of Contract-II</t>
  </si>
  <si>
    <t>Economics-II</t>
  </si>
  <si>
    <t>Bharatiya Nyaya Sanhita 2023</t>
  </si>
  <si>
    <t>Bharatiya Nagarik Suraksha Sanhita 2023</t>
  </si>
  <si>
    <t>Bharatiya Sakshya Adhiniyam 2023</t>
  </si>
  <si>
    <t>College of Professional Studies</t>
  </si>
  <si>
    <t xml:space="preserve"> </t>
  </si>
  <si>
    <t>LLB - 107</t>
  </si>
  <si>
    <t>LLB - 207</t>
  </si>
  <si>
    <t>LLB – 307</t>
  </si>
  <si>
    <t>LLB – 407</t>
  </si>
  <si>
    <t>LLB – 607</t>
  </si>
  <si>
    <t>LLB – 507</t>
  </si>
  <si>
    <t>Law of Torts (Including M.V. Accident and Consumer Protection Laws)</t>
  </si>
  <si>
    <t>Introduction of Mediation and Conciliation</t>
  </si>
  <si>
    <t>Cyber Security</t>
  </si>
  <si>
    <t>BALLB-517</t>
  </si>
  <si>
    <t>BALLB-527</t>
  </si>
  <si>
    <t>BALLB-417</t>
  </si>
  <si>
    <t>20**</t>
  </si>
  <si>
    <t>** 20 marks Subject viva voce is compulsory for Students</t>
  </si>
  <si>
    <t xml:space="preserve">Legal and General English   </t>
  </si>
  <si>
    <t>Jurisprudence (Legal Method, Indian Legal system and Basic Theory)</t>
  </si>
  <si>
    <t>Right to Information</t>
  </si>
  <si>
    <t>Computer Education</t>
  </si>
  <si>
    <t>BALLB-427</t>
  </si>
  <si>
    <t>Insolvency and Bankruptcy Laws</t>
  </si>
  <si>
    <t>Law Of Torts Including M.V. Accidents and Consumer Protection Laws</t>
  </si>
  <si>
    <t>Human Rights Law and Practice</t>
  </si>
  <si>
    <t>Professional Ethics and
Professional Accounting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</si>
</sst>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u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6"/>
      <color rgb="FF50000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2" fillId="0" borderId="0" xfId="0" applyFont="1"/>
    <xf numFmtId="0" fontId="3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1040467</xdr:colOff>
      <xdr:row>0</xdr:row>
      <xdr:rowOff>0</xdr:rowOff>
    </xdr:from>
    <xdr:to>
      <xdr:col>1</xdr:col>
      <xdr:colOff>1330927</xdr:colOff>
      <xdr:row>1</xdr:row>
      <xdr:rowOff>168089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78164-0BA4-AE17-8766-05347619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467" y="0"/>
          <a:ext cx="290460" cy="425824"/>
        </a:xfrm>
        <a:prstGeom prst="rect">
          <a:avLst/>
        </a:prstGeom>
      </xdr:spPr>
    </xdr:pic>
    <xdr:clientData/>
  </xdr:twoCellAnchor>
  <xdr:oneCellAnchor>
    <xdr:from>
      <xdr:col>1</xdr:col>
      <xdr:colOff>1040467</xdr:colOff>
      <xdr:row>21</xdr:row>
      <xdr:rowOff>54348</xdr:rowOff>
    </xdr:from>
    <xdr:ext cx="290460" cy="428625"/>
    <xdr:pic>
      <xdr:nvPicPr>
        <xdr:cNvPr id="4" name="Picture 3">
          <a:extLst>
            <a:ext uri="{FF2B5EF4-FFF2-40B4-BE49-F238E27FC236}">
              <a16:creationId xmlns:a16="http://schemas.microsoft.com/office/drawing/2014/main" id="{9C55AAD5-1CAA-44DA-BCAF-2F23BD91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467" y="6262407"/>
          <a:ext cx="290460" cy="4286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1171576</xdr:colOff>
      <xdr:row>23</xdr:row>
      <xdr:rowOff>19050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4F464A80-C705-4A52-B6BF-B75CDDF9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6" y="5686425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1190625</xdr:colOff>
      <xdr:row>0</xdr:row>
      <xdr:rowOff>0</xdr:rowOff>
    </xdr:from>
    <xdr:ext cx="290460" cy="428625"/>
    <xdr:pic>
      <xdr:nvPicPr>
        <xdr:cNvPr id="4" name="Picture 3">
          <a:extLst>
            <a:ext uri="{FF2B5EF4-FFF2-40B4-BE49-F238E27FC236}">
              <a16:creationId xmlns:a16="http://schemas.microsoft.com/office/drawing/2014/main" id="{1BC53F1C-A49C-4F93-89E5-49D98043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0"/>
          <a:ext cx="290460" cy="4286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1152526</xdr:colOff>
      <xdr:row>21</xdr:row>
      <xdr:rowOff>28575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D5F37F68-E842-4FAA-9A2A-36F1ED138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6" y="5781675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1143000</xdr:colOff>
      <xdr:row>0</xdr:row>
      <xdr:rowOff>28575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A32A5F33-C010-48E1-BD23-A9B845473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575"/>
          <a:ext cx="290460" cy="4286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1143001</xdr:colOff>
      <xdr:row>22</xdr:row>
      <xdr:rowOff>9525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1F20F097-85AA-4714-A2B0-D133DD7B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962650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1152525</xdr:colOff>
      <xdr:row>0</xdr:row>
      <xdr:rowOff>38100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6A121C04-A06A-447C-BACC-A15B9F869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38100"/>
          <a:ext cx="290460" cy="4286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1047751</xdr:colOff>
      <xdr:row>21</xdr:row>
      <xdr:rowOff>180975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145439DD-4ACE-4466-9FA0-AD1E8A37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6165850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1025525</xdr:colOff>
      <xdr:row>0</xdr:row>
      <xdr:rowOff>41275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9BE98F57-9750-4D12-8277-2FAD35C38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6525" y="41275"/>
          <a:ext cx="290460" cy="42862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1143001</xdr:colOff>
      <xdr:row>20</xdr:row>
      <xdr:rowOff>180975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79BD4F01-E795-4ECD-A819-9378B4D67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905500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1200150</xdr:colOff>
      <xdr:row>0</xdr:row>
      <xdr:rowOff>28575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74BC2C1D-A7CB-4D3D-A20B-9619B5F1B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28575"/>
          <a:ext cx="290460" cy="42862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1143001</xdr:colOff>
      <xdr:row>21</xdr:row>
      <xdr:rowOff>180975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92EDB345-F82D-43FF-B4AE-F98F3DB81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905500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1104900</xdr:colOff>
      <xdr:row>0</xdr:row>
      <xdr:rowOff>28575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A613D3F6-D701-4196-B770-60AC0B0E7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28575"/>
          <a:ext cx="290460" cy="4286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1143001</xdr:colOff>
      <xdr:row>21</xdr:row>
      <xdr:rowOff>180975</xdr:rowOff>
    </xdr:from>
    <xdr:ext cx="290460" cy="428625"/>
    <xdr:pic>
      <xdr:nvPicPr>
        <xdr:cNvPr id="2" name="Picture 1">
          <a:extLst>
            <a:ext uri="{FF2B5EF4-FFF2-40B4-BE49-F238E27FC236}">
              <a16:creationId xmlns:a16="http://schemas.microsoft.com/office/drawing/2014/main" id="{3F8F20AD-0A18-436B-8079-F4C4DC4D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1" y="5743575"/>
          <a:ext cx="290460" cy="428625"/>
        </a:xfrm>
        <a:prstGeom prst="rect">
          <a:avLst/>
        </a:prstGeom>
      </xdr:spPr>
    </xdr:pic>
    <xdr:clientData/>
  </xdr:oneCellAnchor>
  <xdr:oneCellAnchor>
    <xdr:from>
      <xdr:col>1</xdr:col>
      <xdr:colOff>1104900</xdr:colOff>
      <xdr:row>0</xdr:row>
      <xdr:rowOff>28575</xdr:rowOff>
    </xdr:from>
    <xdr:ext cx="290460" cy="428625"/>
    <xdr:pic>
      <xdr:nvPicPr>
        <xdr:cNvPr id="3" name="Picture 2">
          <a:extLst>
            <a:ext uri="{FF2B5EF4-FFF2-40B4-BE49-F238E27FC236}">
              <a16:creationId xmlns:a16="http://schemas.microsoft.com/office/drawing/2014/main" id="{67AC3088-31A6-49F8-9CA7-ADBD1582F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28575"/>
          <a:ext cx="290460" cy="428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opLeftCell="A7" zoomScale="85" zoomScaleNormal="85" workbookViewId="0">
      <selection activeCell="C16" sqref="C16"/>
    </sheetView>
  </sheetViews>
  <sheetFormatPr defaultRowHeight="15.75" x14ac:dyDescent="0.25"/>
  <cols>
    <col min="1" max="1" width="5.7109375" style="2" customWidth="1"/>
    <col min="2" max="2" width="31.28515625" style="2" customWidth="1"/>
    <col min="3" max="3" width="13.7109375" style="2" bestFit="1" customWidth="1"/>
    <col min="4" max="4" width="8.7109375" style="2" customWidth="1"/>
    <col min="5" max="5" width="8.28515625" style="2" customWidth="1"/>
    <col min="6" max="6" width="8.42578125" style="2" customWidth="1"/>
    <col min="7" max="7" width="8.140625" style="2" customWidth="1"/>
    <col min="8" max="8" width="12.5703125" style="2" customWidth="1"/>
    <col min="9" max="9" width="12.140625" style="2" bestFit="1" customWidth="1"/>
    <col min="10" max="10" width="9.140625" style="2"/>
    <col min="11" max="11" width="9.140625" style="4"/>
  </cols>
  <sheetData>
    <row r="1" spans="1:11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1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1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  <c r="K3"/>
    </row>
    <row r="4" spans="1:11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s="20" customFormat="1" x14ac:dyDescent="0.25">
      <c r="A6" s="1"/>
      <c r="B6" s="1" t="s">
        <v>88</v>
      </c>
      <c r="C6" s="1"/>
      <c r="D6" s="1" t="s">
        <v>168</v>
      </c>
      <c r="E6" s="1"/>
      <c r="F6" s="1"/>
      <c r="G6" s="1"/>
      <c r="H6" s="1" t="s">
        <v>169</v>
      </c>
      <c r="I6" s="1"/>
      <c r="J6" s="1"/>
    </row>
    <row r="7" spans="1:11" x14ac:dyDescent="0.25">
      <c r="I7" s="29" t="s">
        <v>12</v>
      </c>
      <c r="J7" s="29"/>
    </row>
    <row r="8" spans="1:11" ht="35.1" customHeight="1" x14ac:dyDescent="0.25">
      <c r="A8" s="30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1" ht="35.1" customHeight="1" x14ac:dyDescent="0.25">
      <c r="A9" s="31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1" ht="35.1" customHeight="1" x14ac:dyDescent="0.25">
      <c r="A10" s="10">
        <v>1</v>
      </c>
      <c r="B10" s="9" t="s">
        <v>17</v>
      </c>
      <c r="C10" s="10" t="s">
        <v>19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>D10+F10</f>
        <v>100</v>
      </c>
    </row>
    <row r="11" spans="1:11" ht="51.75" customHeight="1" x14ac:dyDescent="0.25">
      <c r="A11" s="10">
        <v>2</v>
      </c>
      <c r="B11" s="9" t="s">
        <v>223</v>
      </c>
      <c r="C11" s="10" t="s">
        <v>20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ref="J11:J15" si="0">D11+F11</f>
        <v>100</v>
      </c>
    </row>
    <row r="12" spans="1:11" ht="35.1" customHeight="1" x14ac:dyDescent="0.25">
      <c r="A12" s="10">
        <v>3</v>
      </c>
      <c r="B12" s="9" t="s">
        <v>15</v>
      </c>
      <c r="C12" s="10" t="s">
        <v>21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1" ht="35.1" customHeight="1" x14ac:dyDescent="0.25">
      <c r="A13" s="10">
        <v>4</v>
      </c>
      <c r="B13" s="9" t="s">
        <v>16</v>
      </c>
      <c r="C13" s="10" t="s">
        <v>22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1" ht="35.1" customHeight="1" x14ac:dyDescent="0.25">
      <c r="A14" s="10">
        <v>5</v>
      </c>
      <c r="B14" s="9" t="s">
        <v>14</v>
      </c>
      <c r="C14" s="10" t="s">
        <v>23</v>
      </c>
      <c r="D14" s="10">
        <v>20</v>
      </c>
      <c r="E14" s="10">
        <v>8</v>
      </c>
      <c r="F14" s="10">
        <v>80</v>
      </c>
      <c r="G14" s="10">
        <v>32</v>
      </c>
      <c r="H14" s="10" t="s">
        <v>25</v>
      </c>
      <c r="I14" s="10" t="s">
        <v>25</v>
      </c>
      <c r="J14" s="10">
        <f t="shared" si="0"/>
        <v>100</v>
      </c>
    </row>
    <row r="15" spans="1:11" ht="35.1" customHeight="1" x14ac:dyDescent="0.25">
      <c r="A15" s="10">
        <v>6</v>
      </c>
      <c r="B15" s="9" t="s">
        <v>18</v>
      </c>
      <c r="C15" s="10" t="s">
        <v>24</v>
      </c>
      <c r="D15" s="10">
        <v>20</v>
      </c>
      <c r="E15" s="10">
        <v>8</v>
      </c>
      <c r="F15" s="10">
        <v>80</v>
      </c>
      <c r="G15" s="10">
        <v>32</v>
      </c>
      <c r="H15" s="10" t="s">
        <v>25</v>
      </c>
      <c r="I15" s="10" t="s">
        <v>25</v>
      </c>
      <c r="J15" s="10">
        <f t="shared" si="0"/>
        <v>100</v>
      </c>
    </row>
    <row r="16" spans="1:11" ht="35.1" customHeight="1" x14ac:dyDescent="0.25">
      <c r="A16" s="10">
        <v>7</v>
      </c>
      <c r="B16" s="9" t="s">
        <v>231</v>
      </c>
      <c r="C16" s="10" t="s">
        <v>217</v>
      </c>
      <c r="D16" s="10">
        <v>20</v>
      </c>
      <c r="E16" s="10">
        <v>8</v>
      </c>
      <c r="F16" s="10">
        <v>80</v>
      </c>
      <c r="G16" s="10">
        <v>32</v>
      </c>
      <c r="H16" s="10" t="s">
        <v>25</v>
      </c>
      <c r="I16" s="10" t="s">
        <v>25</v>
      </c>
      <c r="J16" s="10">
        <f t="shared" ref="J16" si="1">D16+F16</f>
        <v>100</v>
      </c>
    </row>
    <row r="17" spans="1:11" s="13" customFormat="1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  <c r="K17" s="15"/>
    </row>
    <row r="18" spans="1:11" ht="15" customHeight="1" x14ac:dyDescent="0.25"/>
    <row r="22" spans="1:11" ht="20.25" x14ac:dyDescent="0.3">
      <c r="A22" s="26" t="s">
        <v>0</v>
      </c>
      <c r="B22" s="26"/>
      <c r="C22" s="26"/>
      <c r="D22" s="26"/>
      <c r="E22" s="26"/>
      <c r="F22" s="26"/>
      <c r="G22" s="26"/>
      <c r="H22" s="26"/>
      <c r="I22" s="26"/>
      <c r="J22" s="26"/>
    </row>
    <row r="23" spans="1:11" ht="18.75" x14ac:dyDescent="0.25">
      <c r="A23" s="27" t="s">
        <v>1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1" ht="18.75" x14ac:dyDescent="0.25">
      <c r="A24" s="27" t="s">
        <v>215</v>
      </c>
      <c r="B24" s="27"/>
      <c r="C24" s="27"/>
      <c r="D24" s="27"/>
      <c r="E24" s="27"/>
      <c r="F24" s="27"/>
      <c r="G24" s="27"/>
      <c r="H24" s="27"/>
      <c r="I24" s="27"/>
      <c r="J24" s="27"/>
      <c r="K24"/>
    </row>
    <row r="25" spans="1:11" x14ac:dyDescent="0.25">
      <c r="A25" s="28" t="s">
        <v>13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1" s="20" customFormat="1" x14ac:dyDescent="0.25">
      <c r="A27" s="1"/>
      <c r="B27" s="1" t="s">
        <v>88</v>
      </c>
      <c r="C27" s="1"/>
      <c r="D27" s="1" t="s">
        <v>168</v>
      </c>
      <c r="E27" s="1"/>
      <c r="F27" s="1"/>
      <c r="G27" s="1"/>
      <c r="H27" s="1" t="s">
        <v>170</v>
      </c>
      <c r="I27" s="1"/>
      <c r="J27" s="1"/>
    </row>
    <row r="28" spans="1:11" x14ac:dyDescent="0.25">
      <c r="I28" s="29" t="s">
        <v>12</v>
      </c>
      <c r="J28" s="29"/>
    </row>
    <row r="29" spans="1:11" ht="35.1" customHeight="1" x14ac:dyDescent="0.25">
      <c r="A29" s="30" t="s">
        <v>2</v>
      </c>
      <c r="B29" s="30" t="s">
        <v>4</v>
      </c>
      <c r="C29" s="30" t="s">
        <v>5</v>
      </c>
      <c r="D29" s="22" t="s">
        <v>3</v>
      </c>
      <c r="E29" s="22"/>
      <c r="F29" s="22"/>
      <c r="G29" s="22"/>
      <c r="H29" s="22" t="s">
        <v>8</v>
      </c>
      <c r="I29" s="22"/>
      <c r="J29" s="22" t="s">
        <v>11</v>
      </c>
    </row>
    <row r="30" spans="1:11" ht="35.1" customHeight="1" x14ac:dyDescent="0.25">
      <c r="A30" s="31"/>
      <c r="B30" s="31"/>
      <c r="C30" s="31"/>
      <c r="D30" s="22" t="s">
        <v>6</v>
      </c>
      <c r="E30" s="22"/>
      <c r="F30" s="22" t="s">
        <v>7</v>
      </c>
      <c r="G30" s="22"/>
      <c r="H30" s="11" t="s">
        <v>9</v>
      </c>
      <c r="I30" s="11" t="s">
        <v>10</v>
      </c>
      <c r="J30" s="22"/>
    </row>
    <row r="31" spans="1:11" ht="35.1" customHeight="1" x14ac:dyDescent="0.25">
      <c r="A31" s="10">
        <v>1</v>
      </c>
      <c r="B31" s="9" t="s">
        <v>29</v>
      </c>
      <c r="C31" s="10" t="s">
        <v>32</v>
      </c>
      <c r="D31" s="10">
        <v>20</v>
      </c>
      <c r="E31" s="10">
        <v>8</v>
      </c>
      <c r="F31" s="10">
        <v>80</v>
      </c>
      <c r="G31" s="10">
        <v>32</v>
      </c>
      <c r="H31" s="10" t="s">
        <v>25</v>
      </c>
      <c r="I31" s="10" t="s">
        <v>25</v>
      </c>
      <c r="J31" s="10">
        <f>D31+F31</f>
        <v>100</v>
      </c>
    </row>
    <row r="32" spans="1:11" ht="35.1" customHeight="1" x14ac:dyDescent="0.25">
      <c r="A32" s="10">
        <v>2</v>
      </c>
      <c r="B32" s="9" t="s">
        <v>30</v>
      </c>
      <c r="C32" s="10" t="s">
        <v>33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ref="J32:J37" si="2">D32+F32</f>
        <v>100</v>
      </c>
    </row>
    <row r="33" spans="1:10" ht="35.1" customHeight="1" x14ac:dyDescent="0.25">
      <c r="A33" s="10">
        <v>3</v>
      </c>
      <c r="B33" s="9" t="s">
        <v>212</v>
      </c>
      <c r="C33" s="10" t="s">
        <v>34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si="2"/>
        <v>100</v>
      </c>
    </row>
    <row r="34" spans="1:10" ht="35.1" customHeight="1" x14ac:dyDescent="0.25">
      <c r="A34" s="10">
        <v>4</v>
      </c>
      <c r="B34" s="9" t="s">
        <v>27</v>
      </c>
      <c r="C34" s="10" t="s">
        <v>35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2"/>
        <v>100</v>
      </c>
    </row>
    <row r="35" spans="1:10" ht="35.1" customHeight="1" x14ac:dyDescent="0.25">
      <c r="A35" s="10">
        <v>5</v>
      </c>
      <c r="B35" s="9" t="s">
        <v>28</v>
      </c>
      <c r="C35" s="10" t="s">
        <v>36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2"/>
        <v>100</v>
      </c>
    </row>
    <row r="36" spans="1:10" ht="35.1" customHeight="1" x14ac:dyDescent="0.25">
      <c r="A36" s="10">
        <v>6</v>
      </c>
      <c r="B36" s="9" t="s">
        <v>31</v>
      </c>
      <c r="C36" s="10" t="s">
        <v>37</v>
      </c>
      <c r="D36" s="10">
        <v>20</v>
      </c>
      <c r="E36" s="10">
        <v>8</v>
      </c>
      <c r="F36" s="10">
        <v>80</v>
      </c>
      <c r="G36" s="10">
        <v>32</v>
      </c>
      <c r="H36" s="10" t="s">
        <v>25</v>
      </c>
      <c r="I36" s="10" t="s">
        <v>25</v>
      </c>
      <c r="J36" s="10">
        <f t="shared" si="2"/>
        <v>100</v>
      </c>
    </row>
    <row r="37" spans="1:10" ht="35.1" customHeight="1" x14ac:dyDescent="0.25">
      <c r="A37" s="10">
        <v>7</v>
      </c>
      <c r="B37" s="9" t="s">
        <v>233</v>
      </c>
      <c r="C37" s="10" t="s">
        <v>218</v>
      </c>
      <c r="D37" s="10">
        <v>20</v>
      </c>
      <c r="E37" s="10">
        <v>8</v>
      </c>
      <c r="F37" s="10">
        <v>80</v>
      </c>
      <c r="G37" s="10">
        <v>32</v>
      </c>
      <c r="H37" s="10" t="s">
        <v>25</v>
      </c>
      <c r="I37" s="10" t="s">
        <v>25</v>
      </c>
      <c r="J37" s="10">
        <f t="shared" si="2"/>
        <v>100</v>
      </c>
    </row>
    <row r="38" spans="1:10" ht="35.1" customHeight="1" x14ac:dyDescent="0.25">
      <c r="A38" s="23" t="s">
        <v>26</v>
      </c>
      <c r="B38" s="24"/>
      <c r="C38" s="25"/>
      <c r="D38" s="11"/>
      <c r="E38" s="11"/>
      <c r="F38" s="11"/>
      <c r="G38" s="11"/>
      <c r="H38" s="11"/>
      <c r="I38" s="11"/>
      <c r="J38" s="11">
        <f>SUM(J31:J37)</f>
        <v>700</v>
      </c>
    </row>
  </sheetData>
  <mergeCells count="28">
    <mergeCell ref="I7:J7"/>
    <mergeCell ref="A8:A9"/>
    <mergeCell ref="B8:B9"/>
    <mergeCell ref="C8:C9"/>
    <mergeCell ref="A1:J1"/>
    <mergeCell ref="A2:J2"/>
    <mergeCell ref="A4:J4"/>
    <mergeCell ref="D8:G8"/>
    <mergeCell ref="D9:E9"/>
    <mergeCell ref="F9:G9"/>
    <mergeCell ref="H8:I8"/>
    <mergeCell ref="J8:J9"/>
    <mergeCell ref="A3:J3"/>
    <mergeCell ref="J29:J30"/>
    <mergeCell ref="D30:E30"/>
    <mergeCell ref="F30:G30"/>
    <mergeCell ref="A38:C38"/>
    <mergeCell ref="A17:C17"/>
    <mergeCell ref="A22:J22"/>
    <mergeCell ref="A23:J23"/>
    <mergeCell ref="A25:J25"/>
    <mergeCell ref="I28:J28"/>
    <mergeCell ref="A29:A30"/>
    <mergeCell ref="B29:B30"/>
    <mergeCell ref="C29:C30"/>
    <mergeCell ref="D29:G29"/>
    <mergeCell ref="H29:I29"/>
    <mergeCell ref="A24:J24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1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0CCA-48F1-49CD-AB2E-04E1B304C0DC}">
  <sheetPr>
    <pageSetUpPr fitToPage="1"/>
  </sheetPr>
  <dimension ref="A1:K43"/>
  <sheetViews>
    <sheetView topLeftCell="A10" zoomScaleNormal="100" workbookViewId="0">
      <selection activeCell="E14" sqref="E14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1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4"/>
    </row>
    <row r="2" spans="1:11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4"/>
    </row>
    <row r="3" spans="1:11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  <c r="K4" s="4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1" s="20" customFormat="1" ht="15.75" x14ac:dyDescent="0.25">
      <c r="A6" s="1"/>
      <c r="B6" s="1" t="s">
        <v>88</v>
      </c>
      <c r="C6" s="1"/>
      <c r="D6" s="1" t="s">
        <v>171</v>
      </c>
      <c r="E6" s="1"/>
      <c r="F6" s="1"/>
      <c r="G6" s="1"/>
      <c r="H6" s="1" t="s">
        <v>166</v>
      </c>
      <c r="I6" s="1"/>
      <c r="J6" s="1"/>
    </row>
    <row r="7" spans="1:11" ht="15.75" x14ac:dyDescent="0.25">
      <c r="I7" s="29" t="s">
        <v>12</v>
      </c>
      <c r="J7" s="29"/>
    </row>
    <row r="8" spans="1:11" ht="35.1" customHeight="1" x14ac:dyDescent="0.25">
      <c r="A8" s="30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1" ht="35.1" customHeight="1" x14ac:dyDescent="0.25">
      <c r="A9" s="31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1" ht="35.1" customHeight="1" x14ac:dyDescent="0.25">
      <c r="A10" s="10">
        <v>1</v>
      </c>
      <c r="B10" s="9" t="s">
        <v>213</v>
      </c>
      <c r="C10" s="10" t="s">
        <v>39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>D10+F10</f>
        <v>100</v>
      </c>
    </row>
    <row r="11" spans="1:11" ht="51.75" customHeight="1" x14ac:dyDescent="0.25">
      <c r="A11" s="10">
        <v>2</v>
      </c>
      <c r="B11" s="9" t="s">
        <v>232</v>
      </c>
      <c r="C11" s="10" t="s">
        <v>40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ref="J11:J15" si="0">D11+F11</f>
        <v>100</v>
      </c>
    </row>
    <row r="12" spans="1:11" ht="35.1" customHeight="1" x14ac:dyDescent="0.25">
      <c r="A12" s="10">
        <v>3</v>
      </c>
      <c r="B12" s="9" t="s">
        <v>38</v>
      </c>
      <c r="C12" s="10" t="s">
        <v>41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1" ht="35.1" customHeight="1" x14ac:dyDescent="0.25">
      <c r="A13" s="10">
        <v>4</v>
      </c>
      <c r="B13" s="9" t="s">
        <v>59</v>
      </c>
      <c r="C13" s="10" t="s">
        <v>42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1" ht="35.1" customHeight="1" x14ac:dyDescent="0.25">
      <c r="A14" s="10">
        <v>5</v>
      </c>
      <c r="B14" s="9" t="s">
        <v>60</v>
      </c>
      <c r="C14" s="10" t="s">
        <v>43</v>
      </c>
      <c r="D14" s="10" t="s">
        <v>25</v>
      </c>
      <c r="E14" s="10" t="s">
        <v>25</v>
      </c>
      <c r="F14" s="10">
        <v>80</v>
      </c>
      <c r="G14" s="10">
        <v>32</v>
      </c>
      <c r="H14" s="10" t="s">
        <v>46</v>
      </c>
      <c r="I14" s="10">
        <v>8</v>
      </c>
      <c r="J14" s="10">
        <v>100</v>
      </c>
    </row>
    <row r="15" spans="1:11" ht="35.1" customHeight="1" x14ac:dyDescent="0.25">
      <c r="A15" s="10">
        <v>6</v>
      </c>
      <c r="B15" s="9" t="s">
        <v>61</v>
      </c>
      <c r="C15" s="10" t="s">
        <v>44</v>
      </c>
      <c r="D15" s="10">
        <v>20</v>
      </c>
      <c r="E15" s="10">
        <v>8</v>
      </c>
      <c r="F15" s="10">
        <v>80</v>
      </c>
      <c r="G15" s="10">
        <v>32</v>
      </c>
      <c r="H15" s="10" t="s">
        <v>25</v>
      </c>
      <c r="I15" s="10" t="s">
        <v>25</v>
      </c>
      <c r="J15" s="10">
        <f t="shared" si="0"/>
        <v>100</v>
      </c>
    </row>
    <row r="16" spans="1:11" ht="35.1" customHeight="1" x14ac:dyDescent="0.25">
      <c r="A16" s="21">
        <v>7</v>
      </c>
      <c r="B16" s="9" t="s">
        <v>234</v>
      </c>
      <c r="C16" s="10" t="s">
        <v>219</v>
      </c>
      <c r="D16" s="10">
        <v>20</v>
      </c>
      <c r="E16" s="10">
        <v>8</v>
      </c>
      <c r="F16" s="10">
        <v>80</v>
      </c>
      <c r="G16" s="10">
        <v>32</v>
      </c>
      <c r="H16" s="10" t="s">
        <v>25</v>
      </c>
      <c r="I16" s="10" t="s">
        <v>25</v>
      </c>
      <c r="J16" s="10">
        <f t="shared" ref="J16" si="1">D16+F16</f>
        <v>100</v>
      </c>
    </row>
    <row r="17" spans="1:11" s="13" customFormat="1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1" ht="15.75" x14ac:dyDescent="0.25">
      <c r="B18" s="14" t="s">
        <v>45</v>
      </c>
    </row>
    <row r="24" spans="1:11" ht="20.25" x14ac:dyDescent="0.3">
      <c r="A24" s="26" t="s">
        <v>0</v>
      </c>
      <c r="B24" s="26"/>
      <c r="C24" s="26"/>
      <c r="D24" s="26"/>
      <c r="E24" s="26"/>
      <c r="F24" s="26"/>
      <c r="G24" s="26"/>
      <c r="H24" s="26"/>
      <c r="I24" s="26"/>
      <c r="J24" s="26"/>
      <c r="K24" s="4"/>
    </row>
    <row r="25" spans="1:11" ht="18.75" x14ac:dyDescent="0.25">
      <c r="A25" s="27" t="s">
        <v>1</v>
      </c>
      <c r="B25" s="27"/>
      <c r="C25" s="27"/>
      <c r="D25" s="27"/>
      <c r="E25" s="27"/>
      <c r="F25" s="27"/>
      <c r="G25" s="27"/>
      <c r="H25" s="27"/>
      <c r="I25" s="27"/>
      <c r="J25" s="27"/>
      <c r="K25" s="4"/>
    </row>
    <row r="26" spans="1:11" ht="18.75" x14ac:dyDescent="0.25">
      <c r="A26" s="27" t="s">
        <v>215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1" ht="15.75" x14ac:dyDescent="0.25">
      <c r="A27" s="28" t="s">
        <v>13</v>
      </c>
      <c r="B27" s="28"/>
      <c r="C27" s="28"/>
      <c r="D27" s="28"/>
      <c r="E27" s="28"/>
      <c r="F27" s="28"/>
      <c r="G27" s="28"/>
      <c r="H27" s="28"/>
      <c r="I27" s="28"/>
      <c r="J27" s="28"/>
      <c r="K27" s="4"/>
    </row>
    <row r="28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1" s="20" customFormat="1" ht="15.75" x14ac:dyDescent="0.25">
      <c r="A29" s="1"/>
      <c r="B29" s="1" t="s">
        <v>88</v>
      </c>
      <c r="C29" s="1"/>
      <c r="D29" s="1" t="s">
        <v>171</v>
      </c>
      <c r="E29" s="1"/>
      <c r="F29" s="1"/>
      <c r="G29" s="1"/>
      <c r="H29" s="1" t="s">
        <v>172</v>
      </c>
      <c r="I29" s="1"/>
      <c r="J29" s="1"/>
    </row>
    <row r="30" spans="1:11" ht="15.75" x14ac:dyDescent="0.25">
      <c r="I30" s="29" t="s">
        <v>12</v>
      </c>
      <c r="J30" s="29"/>
    </row>
    <row r="31" spans="1:11" ht="35.1" customHeight="1" x14ac:dyDescent="0.25">
      <c r="A31" s="30" t="s">
        <v>2</v>
      </c>
      <c r="B31" s="30" t="s">
        <v>4</v>
      </c>
      <c r="C31" s="30" t="s">
        <v>5</v>
      </c>
      <c r="D31" s="22" t="s">
        <v>3</v>
      </c>
      <c r="E31" s="22"/>
      <c r="F31" s="22"/>
      <c r="G31" s="22"/>
      <c r="H31" s="22" t="s">
        <v>8</v>
      </c>
      <c r="I31" s="22"/>
      <c r="J31" s="22" t="s">
        <v>11</v>
      </c>
    </row>
    <row r="32" spans="1:11" ht="35.1" customHeight="1" x14ac:dyDescent="0.25">
      <c r="A32" s="31"/>
      <c r="B32" s="31"/>
      <c r="C32" s="31"/>
      <c r="D32" s="22" t="s">
        <v>6</v>
      </c>
      <c r="E32" s="22"/>
      <c r="F32" s="22" t="s">
        <v>7</v>
      </c>
      <c r="G32" s="22"/>
      <c r="H32" s="11" t="s">
        <v>9</v>
      </c>
      <c r="I32" s="11" t="s">
        <v>10</v>
      </c>
      <c r="J32" s="22"/>
    </row>
    <row r="33" spans="1:10" ht="35.1" customHeight="1" x14ac:dyDescent="0.25">
      <c r="A33" s="10">
        <v>1</v>
      </c>
      <c r="B33" s="12" t="s">
        <v>47</v>
      </c>
      <c r="C33" s="10" t="s">
        <v>53</v>
      </c>
      <c r="D33" s="10" t="s">
        <v>25</v>
      </c>
      <c r="E33" s="10" t="s">
        <v>25</v>
      </c>
      <c r="F33" s="10">
        <v>80</v>
      </c>
      <c r="G33" s="10">
        <v>32</v>
      </c>
      <c r="H33" s="10" t="s">
        <v>46</v>
      </c>
      <c r="I33" s="10">
        <v>8</v>
      </c>
      <c r="J33" s="10">
        <v>100</v>
      </c>
    </row>
    <row r="34" spans="1:10" ht="35.1" customHeight="1" x14ac:dyDescent="0.25">
      <c r="A34" s="10">
        <v>2</v>
      </c>
      <c r="B34" s="12" t="s">
        <v>48</v>
      </c>
      <c r="C34" s="10" t="s">
        <v>54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ref="J34:J39" si="2">D34+F34</f>
        <v>100</v>
      </c>
    </row>
    <row r="35" spans="1:10" ht="35.1" customHeight="1" x14ac:dyDescent="0.25">
      <c r="A35" s="10">
        <v>3</v>
      </c>
      <c r="B35" s="12" t="s">
        <v>49</v>
      </c>
      <c r="C35" s="10" t="s">
        <v>55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2"/>
        <v>100</v>
      </c>
    </row>
    <row r="36" spans="1:10" ht="35.1" customHeight="1" x14ac:dyDescent="0.25">
      <c r="A36" s="10">
        <v>4</v>
      </c>
      <c r="B36" s="12" t="s">
        <v>50</v>
      </c>
      <c r="C36" s="10" t="s">
        <v>56</v>
      </c>
      <c r="D36" s="10">
        <v>20</v>
      </c>
      <c r="E36" s="10">
        <v>8</v>
      </c>
      <c r="F36" s="10">
        <v>80</v>
      </c>
      <c r="G36" s="10">
        <v>32</v>
      </c>
      <c r="H36" s="10" t="s">
        <v>25</v>
      </c>
      <c r="I36" s="10" t="s">
        <v>25</v>
      </c>
      <c r="J36" s="10">
        <f t="shared" si="2"/>
        <v>100</v>
      </c>
    </row>
    <row r="37" spans="1:10" ht="35.1" customHeight="1" x14ac:dyDescent="0.25">
      <c r="A37" s="10">
        <v>5</v>
      </c>
      <c r="B37" s="12" t="s">
        <v>51</v>
      </c>
      <c r="C37" s="10" t="s">
        <v>57</v>
      </c>
      <c r="D37" s="10">
        <v>20</v>
      </c>
      <c r="E37" s="10">
        <v>8</v>
      </c>
      <c r="F37" s="10">
        <v>80</v>
      </c>
      <c r="G37" s="10">
        <v>32</v>
      </c>
      <c r="H37" s="10" t="s">
        <v>25</v>
      </c>
      <c r="I37" s="10" t="s">
        <v>25</v>
      </c>
      <c r="J37" s="10">
        <f t="shared" si="2"/>
        <v>100</v>
      </c>
    </row>
    <row r="38" spans="1:10" ht="35.1" customHeight="1" x14ac:dyDescent="0.25">
      <c r="A38" s="10">
        <v>6</v>
      </c>
      <c r="B38" s="12" t="s">
        <v>52</v>
      </c>
      <c r="C38" s="10" t="s">
        <v>58</v>
      </c>
      <c r="D38" s="10">
        <v>20</v>
      </c>
      <c r="E38" s="10">
        <v>8</v>
      </c>
      <c r="F38" s="10">
        <v>80</v>
      </c>
      <c r="G38" s="10">
        <v>32</v>
      </c>
      <c r="H38" s="10" t="s">
        <v>25</v>
      </c>
      <c r="I38" s="10" t="s">
        <v>25</v>
      </c>
      <c r="J38" s="10">
        <f t="shared" si="2"/>
        <v>100</v>
      </c>
    </row>
    <row r="39" spans="1:10" ht="35.1" customHeight="1" x14ac:dyDescent="0.25">
      <c r="A39" s="21">
        <v>7</v>
      </c>
      <c r="B39" s="9" t="s">
        <v>236</v>
      </c>
      <c r="C39" s="10" t="s">
        <v>220</v>
      </c>
      <c r="D39" s="10">
        <v>20</v>
      </c>
      <c r="E39" s="10">
        <v>8</v>
      </c>
      <c r="F39" s="10">
        <v>80</v>
      </c>
      <c r="G39" s="10">
        <v>32</v>
      </c>
      <c r="H39" s="10" t="s">
        <v>25</v>
      </c>
      <c r="I39" s="10" t="s">
        <v>25</v>
      </c>
      <c r="J39" s="10">
        <f t="shared" si="2"/>
        <v>100</v>
      </c>
    </row>
    <row r="40" spans="1:10" s="13" customFormat="1" ht="35.1" customHeight="1" x14ac:dyDescent="0.25">
      <c r="A40" s="23" t="s">
        <v>26</v>
      </c>
      <c r="B40" s="24"/>
      <c r="C40" s="25"/>
      <c r="D40" s="11"/>
      <c r="E40" s="11"/>
      <c r="F40" s="11"/>
      <c r="G40" s="11"/>
      <c r="H40" s="11"/>
      <c r="I40" s="11"/>
      <c r="J40" s="11">
        <f>SUM(J33:J39)</f>
        <v>700</v>
      </c>
    </row>
    <row r="41" spans="1:10" ht="15.75" x14ac:dyDescent="0.25">
      <c r="B41" s="14" t="s">
        <v>45</v>
      </c>
    </row>
    <row r="43" spans="1:10" x14ac:dyDescent="0.25">
      <c r="D43" s="4" t="s">
        <v>216</v>
      </c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17:C17"/>
    <mergeCell ref="A24:J24"/>
    <mergeCell ref="A25:J25"/>
    <mergeCell ref="A26:J26"/>
    <mergeCell ref="A40:C40"/>
    <mergeCell ref="I30:J30"/>
    <mergeCell ref="A31:A32"/>
    <mergeCell ref="B31:B32"/>
    <mergeCell ref="C31:C32"/>
    <mergeCell ref="D31:G31"/>
    <mergeCell ref="H31:I31"/>
    <mergeCell ref="J31:J32"/>
    <mergeCell ref="D32:E32"/>
    <mergeCell ref="F32:G32"/>
    <mergeCell ref="A27:J27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3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C8DE-2845-4EE4-B27B-B39F23F02EF2}">
  <sheetPr>
    <pageSetUpPr fitToPage="1"/>
  </sheetPr>
  <dimension ref="A1:K39"/>
  <sheetViews>
    <sheetView topLeftCell="A10" zoomScaleNormal="100" workbookViewId="0">
      <selection activeCell="H14" sqref="H14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1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4"/>
    </row>
    <row r="2" spans="1:11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4"/>
    </row>
    <row r="3" spans="1:11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1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  <c r="K4" s="4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1" s="20" customFormat="1" ht="15.75" x14ac:dyDescent="0.25">
      <c r="A6" s="1"/>
      <c r="B6" s="1" t="s">
        <v>88</v>
      </c>
      <c r="C6" s="1"/>
      <c r="D6" s="1" t="s">
        <v>173</v>
      </c>
      <c r="E6" s="1"/>
      <c r="F6" s="1"/>
      <c r="G6" s="1"/>
      <c r="H6" s="1" t="s">
        <v>174</v>
      </c>
      <c r="I6" s="1"/>
      <c r="J6" s="1"/>
    </row>
    <row r="7" spans="1:11" ht="15.75" x14ac:dyDescent="0.25">
      <c r="I7" s="29" t="s">
        <v>12</v>
      </c>
      <c r="J7" s="29"/>
    </row>
    <row r="8" spans="1:11" ht="35.1" customHeight="1" x14ac:dyDescent="0.25">
      <c r="A8" s="30" t="s">
        <v>2</v>
      </c>
      <c r="B8" s="30" t="s">
        <v>4</v>
      </c>
      <c r="C8" s="30" t="s">
        <v>5</v>
      </c>
      <c r="D8" s="23" t="s">
        <v>3</v>
      </c>
      <c r="E8" s="24"/>
      <c r="F8" s="24"/>
      <c r="G8" s="25"/>
      <c r="H8" s="23" t="s">
        <v>8</v>
      </c>
      <c r="I8" s="25"/>
      <c r="J8" s="30" t="s">
        <v>11</v>
      </c>
    </row>
    <row r="9" spans="1:11" ht="35.1" customHeight="1" x14ac:dyDescent="0.25">
      <c r="A9" s="31"/>
      <c r="B9" s="31"/>
      <c r="C9" s="31"/>
      <c r="D9" s="23" t="s">
        <v>6</v>
      </c>
      <c r="E9" s="25"/>
      <c r="F9" s="23" t="s">
        <v>7</v>
      </c>
      <c r="G9" s="25"/>
      <c r="H9" s="11" t="s">
        <v>9</v>
      </c>
      <c r="I9" s="11" t="s">
        <v>10</v>
      </c>
      <c r="J9" s="31"/>
    </row>
    <row r="10" spans="1:11" ht="35.1" customHeight="1" x14ac:dyDescent="0.25">
      <c r="A10" s="10">
        <v>1</v>
      </c>
      <c r="B10" s="12" t="s">
        <v>62</v>
      </c>
      <c r="C10" s="10" t="s">
        <v>67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>D10+F10</f>
        <v>100</v>
      </c>
    </row>
    <row r="11" spans="1:11" ht="35.1" customHeight="1" x14ac:dyDescent="0.25">
      <c r="A11" s="10">
        <v>2</v>
      </c>
      <c r="B11" s="12" t="s">
        <v>214</v>
      </c>
      <c r="C11" s="10" t="s">
        <v>68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ref="J11:J13" si="0">D11+F11</f>
        <v>100</v>
      </c>
    </row>
    <row r="12" spans="1:11" ht="35.1" customHeight="1" x14ac:dyDescent="0.25">
      <c r="A12" s="10">
        <v>3</v>
      </c>
      <c r="B12" s="9" t="s">
        <v>180</v>
      </c>
      <c r="C12" s="10" t="s">
        <v>69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1" ht="35.1" customHeight="1" x14ac:dyDescent="0.25">
      <c r="A13" s="10">
        <v>4</v>
      </c>
      <c r="B13" s="12" t="s">
        <v>63</v>
      </c>
      <c r="C13" s="10" t="s">
        <v>70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1" ht="35.1" customHeight="1" x14ac:dyDescent="0.25">
      <c r="A14" s="10">
        <v>5</v>
      </c>
      <c r="B14" s="9" t="s">
        <v>64</v>
      </c>
      <c r="C14" s="10" t="s">
        <v>71</v>
      </c>
      <c r="D14" s="10">
        <v>20</v>
      </c>
      <c r="E14" s="10">
        <v>8</v>
      </c>
      <c r="F14" s="10">
        <v>80</v>
      </c>
      <c r="G14" s="10">
        <v>32</v>
      </c>
      <c r="H14" s="10" t="s">
        <v>25</v>
      </c>
      <c r="I14" s="10" t="s">
        <v>25</v>
      </c>
      <c r="J14" s="10">
        <f t="shared" ref="J14" si="1">D14+F14</f>
        <v>100</v>
      </c>
    </row>
    <row r="15" spans="1:11" ht="35.1" customHeight="1" x14ac:dyDescent="0.25">
      <c r="A15" s="10">
        <v>6</v>
      </c>
      <c r="B15" s="12" t="s">
        <v>65</v>
      </c>
      <c r="C15" s="10" t="s">
        <v>72</v>
      </c>
      <c r="D15" s="10" t="s">
        <v>25</v>
      </c>
      <c r="E15" s="10" t="s">
        <v>25</v>
      </c>
      <c r="F15" s="10" t="s">
        <v>25</v>
      </c>
      <c r="G15" s="10" t="s">
        <v>25</v>
      </c>
      <c r="H15" s="10" t="s">
        <v>85</v>
      </c>
      <c r="I15" s="10">
        <v>40</v>
      </c>
      <c r="J15" s="10">
        <v>100</v>
      </c>
    </row>
    <row r="16" spans="1:11" ht="35.1" customHeight="1" x14ac:dyDescent="0.25">
      <c r="A16" s="10">
        <v>7</v>
      </c>
      <c r="B16" s="9" t="s">
        <v>224</v>
      </c>
      <c r="C16" s="10" t="s">
        <v>222</v>
      </c>
      <c r="D16" s="10" t="s">
        <v>25</v>
      </c>
      <c r="E16" s="10" t="s">
        <v>25</v>
      </c>
      <c r="F16" s="10">
        <v>80</v>
      </c>
      <c r="G16" s="10">
        <v>32</v>
      </c>
      <c r="H16" s="10" t="s">
        <v>46</v>
      </c>
      <c r="I16" s="10">
        <v>8</v>
      </c>
      <c r="J16" s="10">
        <v>100</v>
      </c>
    </row>
    <row r="17" spans="1:11" s="13" customFormat="1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1" ht="15.75" x14ac:dyDescent="0.25">
      <c r="A18" s="2"/>
      <c r="B18" s="14" t="s">
        <v>66</v>
      </c>
      <c r="C18" s="2"/>
      <c r="D18" s="2"/>
      <c r="E18" s="2"/>
      <c r="F18" s="2"/>
      <c r="G18" s="2"/>
      <c r="H18" s="2"/>
      <c r="I18" s="2"/>
      <c r="J18" s="2"/>
    </row>
    <row r="19" spans="1:11" ht="15.75" x14ac:dyDescent="0.25">
      <c r="B19" s="14" t="s">
        <v>45</v>
      </c>
    </row>
    <row r="22" spans="1:11" ht="20.25" x14ac:dyDescent="0.3">
      <c r="A22" s="26" t="s">
        <v>0</v>
      </c>
      <c r="B22" s="26"/>
      <c r="C22" s="26"/>
      <c r="D22" s="26"/>
      <c r="E22" s="26"/>
      <c r="F22" s="26"/>
      <c r="G22" s="26"/>
      <c r="H22" s="26"/>
      <c r="I22" s="26"/>
      <c r="J22" s="26"/>
      <c r="K22" s="4"/>
    </row>
    <row r="23" spans="1:11" ht="18.75" x14ac:dyDescent="0.25">
      <c r="A23" s="27" t="s">
        <v>1</v>
      </c>
      <c r="B23" s="27"/>
      <c r="C23" s="27"/>
      <c r="D23" s="27"/>
      <c r="E23" s="27"/>
      <c r="F23" s="27"/>
      <c r="G23" s="27"/>
      <c r="H23" s="27"/>
      <c r="I23" s="27"/>
      <c r="J23" s="27"/>
      <c r="K23" s="4"/>
    </row>
    <row r="24" spans="1:11" ht="18.75" x14ac:dyDescent="0.25">
      <c r="A24" s="27" t="s">
        <v>215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1" ht="15.75" x14ac:dyDescent="0.25">
      <c r="A25" s="28" t="s">
        <v>13</v>
      </c>
      <c r="B25" s="28"/>
      <c r="C25" s="28"/>
      <c r="D25" s="28"/>
      <c r="E25" s="28"/>
      <c r="F25" s="28"/>
      <c r="G25" s="28"/>
      <c r="H25" s="28"/>
      <c r="I25" s="28"/>
      <c r="J25" s="28"/>
      <c r="K25" s="4"/>
    </row>
    <row r="26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1" s="20" customFormat="1" ht="15.75" x14ac:dyDescent="0.25">
      <c r="A27" s="1"/>
      <c r="B27" s="1" t="s">
        <v>88</v>
      </c>
      <c r="C27" s="1"/>
      <c r="D27" s="1" t="s">
        <v>173</v>
      </c>
      <c r="E27" s="1"/>
      <c r="F27" s="1"/>
      <c r="G27" s="1"/>
      <c r="H27" s="1" t="s">
        <v>175</v>
      </c>
      <c r="I27" s="1"/>
      <c r="J27" s="1"/>
    </row>
    <row r="28" spans="1:11" ht="15.75" x14ac:dyDescent="0.25">
      <c r="I28" s="29" t="s">
        <v>12</v>
      </c>
      <c r="J28" s="29"/>
    </row>
    <row r="29" spans="1:11" ht="35.1" customHeight="1" x14ac:dyDescent="0.25">
      <c r="A29" s="30" t="s">
        <v>2</v>
      </c>
      <c r="B29" s="30" t="s">
        <v>4</v>
      </c>
      <c r="C29" s="30" t="s">
        <v>5</v>
      </c>
      <c r="D29" s="22" t="s">
        <v>3</v>
      </c>
      <c r="E29" s="22"/>
      <c r="F29" s="22"/>
      <c r="G29" s="22"/>
      <c r="H29" s="22" t="s">
        <v>8</v>
      </c>
      <c r="I29" s="22"/>
      <c r="J29" s="22" t="s">
        <v>11</v>
      </c>
    </row>
    <row r="30" spans="1:11" ht="35.1" customHeight="1" x14ac:dyDescent="0.25">
      <c r="A30" s="31"/>
      <c r="B30" s="31"/>
      <c r="C30" s="31"/>
      <c r="D30" s="22" t="s">
        <v>6</v>
      </c>
      <c r="E30" s="22"/>
      <c r="F30" s="22" t="s">
        <v>7</v>
      </c>
      <c r="G30" s="22"/>
      <c r="H30" s="11" t="s">
        <v>9</v>
      </c>
      <c r="I30" s="11" t="s">
        <v>10</v>
      </c>
      <c r="J30" s="22"/>
    </row>
    <row r="31" spans="1:11" ht="35.1" customHeight="1" x14ac:dyDescent="0.25">
      <c r="A31" s="10">
        <v>1</v>
      </c>
      <c r="B31" s="12" t="s">
        <v>77</v>
      </c>
      <c r="C31" s="10" t="s">
        <v>79</v>
      </c>
      <c r="D31" s="10">
        <v>20</v>
      </c>
      <c r="E31" s="10">
        <v>8</v>
      </c>
      <c r="F31" s="10">
        <v>80</v>
      </c>
      <c r="G31" s="10">
        <v>32</v>
      </c>
      <c r="H31" s="10" t="s">
        <v>25</v>
      </c>
      <c r="I31" s="10" t="s">
        <v>25</v>
      </c>
      <c r="J31" s="10">
        <f t="shared" ref="J31" si="2">D31+F31</f>
        <v>100</v>
      </c>
    </row>
    <row r="32" spans="1:11" ht="35.1" customHeight="1" x14ac:dyDescent="0.25">
      <c r="A32" s="10">
        <v>2</v>
      </c>
      <c r="B32" s="12" t="s">
        <v>73</v>
      </c>
      <c r="C32" s="10" t="s">
        <v>80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ref="J32:J35" si="3">D32+F32</f>
        <v>100</v>
      </c>
    </row>
    <row r="33" spans="1:10" ht="35.1" customHeight="1" x14ac:dyDescent="0.25">
      <c r="A33" s="10">
        <v>3</v>
      </c>
      <c r="B33" s="12" t="s">
        <v>74</v>
      </c>
      <c r="C33" s="10" t="s">
        <v>81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si="3"/>
        <v>100</v>
      </c>
    </row>
    <row r="34" spans="1:10" ht="35.1" customHeight="1" x14ac:dyDescent="0.25">
      <c r="A34" s="10">
        <v>4</v>
      </c>
      <c r="B34" s="12" t="s">
        <v>75</v>
      </c>
      <c r="C34" s="10" t="s">
        <v>82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3"/>
        <v>100</v>
      </c>
    </row>
    <row r="35" spans="1:10" ht="35.1" customHeight="1" x14ac:dyDescent="0.25">
      <c r="A35" s="10">
        <v>5</v>
      </c>
      <c r="B35" s="12" t="s">
        <v>78</v>
      </c>
      <c r="C35" s="10" t="s">
        <v>83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3"/>
        <v>100</v>
      </c>
    </row>
    <row r="36" spans="1:10" ht="35.1" customHeight="1" x14ac:dyDescent="0.25">
      <c r="A36" s="10">
        <v>6</v>
      </c>
      <c r="B36" s="12" t="s">
        <v>76</v>
      </c>
      <c r="C36" s="10" t="s">
        <v>84</v>
      </c>
      <c r="D36" s="10" t="s">
        <v>25</v>
      </c>
      <c r="E36" s="10" t="s">
        <v>25</v>
      </c>
      <c r="F36" s="10" t="s">
        <v>25</v>
      </c>
      <c r="G36" s="10" t="s">
        <v>25</v>
      </c>
      <c r="H36" s="10" t="s">
        <v>85</v>
      </c>
      <c r="I36" s="10">
        <v>40</v>
      </c>
      <c r="J36" s="10">
        <v>100</v>
      </c>
    </row>
    <row r="37" spans="1:10" ht="35.1" customHeight="1" x14ac:dyDescent="0.25">
      <c r="A37" s="10">
        <v>7</v>
      </c>
      <c r="B37" s="12" t="s">
        <v>225</v>
      </c>
      <c r="C37" s="10" t="s">
        <v>221</v>
      </c>
      <c r="D37" s="10">
        <v>20</v>
      </c>
      <c r="E37" s="10">
        <v>8</v>
      </c>
      <c r="F37" s="10">
        <v>80</v>
      </c>
      <c r="G37" s="10">
        <v>32</v>
      </c>
      <c r="H37" s="10" t="s">
        <v>25</v>
      </c>
      <c r="I37" s="10" t="s">
        <v>25</v>
      </c>
      <c r="J37" s="10">
        <f t="shared" ref="J37" si="4">D37+F37</f>
        <v>100</v>
      </c>
    </row>
    <row r="38" spans="1:10" s="13" customFormat="1" ht="35.1" customHeight="1" x14ac:dyDescent="0.25">
      <c r="A38" s="23" t="s">
        <v>26</v>
      </c>
      <c r="B38" s="24"/>
      <c r="C38" s="25"/>
      <c r="D38" s="11"/>
      <c r="E38" s="11"/>
      <c r="F38" s="11"/>
      <c r="G38" s="11"/>
      <c r="H38" s="11"/>
      <c r="I38" s="11"/>
      <c r="J38" s="11">
        <f>SUM(J31:J37)</f>
        <v>700</v>
      </c>
    </row>
    <row r="39" spans="1:10" ht="15.75" x14ac:dyDescent="0.25">
      <c r="B39" s="2" t="s">
        <v>86</v>
      </c>
    </row>
  </sheetData>
  <mergeCells count="28">
    <mergeCell ref="A25:J25"/>
    <mergeCell ref="A1:J1"/>
    <mergeCell ref="A2:J2"/>
    <mergeCell ref="A4:J4"/>
    <mergeCell ref="I7:J7"/>
    <mergeCell ref="D9:E9"/>
    <mergeCell ref="F9:G9"/>
    <mergeCell ref="A17:C17"/>
    <mergeCell ref="A22:J22"/>
    <mergeCell ref="A23:J23"/>
    <mergeCell ref="A3:J3"/>
    <mergeCell ref="A24:J24"/>
    <mergeCell ref="A38:C38"/>
    <mergeCell ref="J8:J9"/>
    <mergeCell ref="H8:I8"/>
    <mergeCell ref="D8:G8"/>
    <mergeCell ref="C8:C9"/>
    <mergeCell ref="B8:B9"/>
    <mergeCell ref="A8:A9"/>
    <mergeCell ref="I28:J28"/>
    <mergeCell ref="A29:A30"/>
    <mergeCell ref="B29:B30"/>
    <mergeCell ref="C29:C30"/>
    <mergeCell ref="D29:G29"/>
    <mergeCell ref="H29:I29"/>
    <mergeCell ref="J29:J30"/>
    <mergeCell ref="D30:E30"/>
    <mergeCell ref="F30:G30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1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E329-8BF0-4DA5-929E-EAF3FC7F81C7}">
  <sheetPr>
    <pageSetUpPr fitToPage="1"/>
  </sheetPr>
  <dimension ref="A1:J40"/>
  <sheetViews>
    <sheetView topLeftCell="A10" zoomScaleNormal="100" workbookViewId="0">
      <selection activeCell="C15" sqref="C15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0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7"/>
      <c r="B6" s="6" t="s">
        <v>87</v>
      </c>
      <c r="C6" s="6"/>
      <c r="D6" s="6" t="s">
        <v>168</v>
      </c>
      <c r="E6" s="6"/>
      <c r="F6" s="6"/>
      <c r="G6" s="6"/>
      <c r="H6" s="6" t="s">
        <v>169</v>
      </c>
      <c r="I6" s="6"/>
      <c r="J6" s="6"/>
    </row>
    <row r="7" spans="1:10" ht="15.75" x14ac:dyDescent="0.25">
      <c r="I7" s="29" t="s">
        <v>12</v>
      </c>
      <c r="J7" s="29"/>
    </row>
    <row r="8" spans="1:10" ht="35.1" customHeight="1" x14ac:dyDescent="0.25">
      <c r="A8" s="32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0" ht="35.1" customHeight="1" x14ac:dyDescent="0.25">
      <c r="A9" s="33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0" ht="35.1" customHeight="1" x14ac:dyDescent="0.25">
      <c r="A10" s="10">
        <v>1</v>
      </c>
      <c r="B10" s="12" t="s">
        <v>202</v>
      </c>
      <c r="C10" s="10" t="s">
        <v>89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 t="shared" ref="J10:J15" si="0">D10+F10</f>
        <v>100</v>
      </c>
    </row>
    <row r="11" spans="1:10" ht="35.1" customHeight="1" x14ac:dyDescent="0.25">
      <c r="A11" s="10">
        <v>2</v>
      </c>
      <c r="B11" s="12" t="s">
        <v>203</v>
      </c>
      <c r="C11" s="10" t="s">
        <v>90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si="0"/>
        <v>100</v>
      </c>
    </row>
    <row r="12" spans="1:10" ht="35.1" customHeight="1" x14ac:dyDescent="0.25">
      <c r="A12" s="10">
        <v>3</v>
      </c>
      <c r="B12" s="12" t="s">
        <v>204</v>
      </c>
      <c r="C12" s="10" t="s">
        <v>91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0" ht="35.1" customHeight="1" x14ac:dyDescent="0.25">
      <c r="A13" s="10">
        <v>4</v>
      </c>
      <c r="B13" s="12" t="s">
        <v>205</v>
      </c>
      <c r="C13" s="10" t="s">
        <v>92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0" ht="46.5" customHeight="1" x14ac:dyDescent="0.25">
      <c r="A14" s="10">
        <v>5</v>
      </c>
      <c r="B14" s="9" t="s">
        <v>237</v>
      </c>
      <c r="C14" s="10" t="s">
        <v>93</v>
      </c>
      <c r="D14" s="10">
        <v>20</v>
      </c>
      <c r="E14" s="10">
        <v>8</v>
      </c>
      <c r="F14" s="10">
        <v>80</v>
      </c>
      <c r="G14" s="10">
        <v>32</v>
      </c>
      <c r="H14" s="10" t="s">
        <v>25</v>
      </c>
      <c r="I14" s="10" t="s">
        <v>25</v>
      </c>
      <c r="J14" s="10">
        <f t="shared" si="0"/>
        <v>100</v>
      </c>
    </row>
    <row r="15" spans="1:10" ht="35.1" customHeight="1" x14ac:dyDescent="0.25">
      <c r="A15" s="10">
        <v>6</v>
      </c>
      <c r="B15" s="9" t="s">
        <v>206</v>
      </c>
      <c r="C15" s="10" t="s">
        <v>94</v>
      </c>
      <c r="D15" s="10">
        <v>20</v>
      </c>
      <c r="E15" s="10">
        <v>8</v>
      </c>
      <c r="F15" s="10">
        <v>80</v>
      </c>
      <c r="G15" s="10">
        <v>32</v>
      </c>
      <c r="H15" s="10" t="s">
        <v>25</v>
      </c>
      <c r="I15" s="10" t="s">
        <v>25</v>
      </c>
      <c r="J15" s="10">
        <f t="shared" si="0"/>
        <v>100</v>
      </c>
    </row>
    <row r="16" spans="1:10" ht="35.1" customHeight="1" x14ac:dyDescent="0.25">
      <c r="A16" s="10">
        <v>7</v>
      </c>
      <c r="B16" s="9" t="s">
        <v>179</v>
      </c>
      <c r="C16" s="10" t="s">
        <v>95</v>
      </c>
      <c r="D16" s="10" t="s">
        <v>25</v>
      </c>
      <c r="E16" s="10" t="s">
        <v>25</v>
      </c>
      <c r="F16" s="10" t="s">
        <v>25</v>
      </c>
      <c r="G16" s="10" t="s">
        <v>25</v>
      </c>
      <c r="H16" s="10">
        <v>100</v>
      </c>
      <c r="I16" s="10">
        <v>40</v>
      </c>
      <c r="J16" s="10">
        <v>100</v>
      </c>
    </row>
    <row r="17" spans="1:10" s="13" customFormat="1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0" ht="15.75" x14ac:dyDescent="0.25">
      <c r="B18" s="14"/>
    </row>
    <row r="23" spans="1:10" ht="20.25" x14ac:dyDescent="0.3">
      <c r="A23" s="26" t="s">
        <v>0</v>
      </c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8.75" x14ac:dyDescent="0.25">
      <c r="A24" s="27" t="s">
        <v>1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8.75" x14ac:dyDescent="0.25">
      <c r="A25" s="27" t="s">
        <v>215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x14ac:dyDescent="0.25">
      <c r="A26" s="28" t="s">
        <v>13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7"/>
      <c r="B28" s="6" t="s">
        <v>87</v>
      </c>
      <c r="C28" s="6"/>
      <c r="D28" s="6" t="s">
        <v>168</v>
      </c>
      <c r="E28" s="6"/>
      <c r="F28" s="6"/>
      <c r="G28" s="6"/>
      <c r="H28" s="6" t="s">
        <v>170</v>
      </c>
      <c r="I28" s="6"/>
      <c r="J28" s="6"/>
    </row>
    <row r="29" spans="1:10" ht="15.75" x14ac:dyDescent="0.25">
      <c r="I29" s="29" t="s">
        <v>12</v>
      </c>
      <c r="J29" s="29"/>
    </row>
    <row r="30" spans="1:10" ht="35.1" customHeight="1" x14ac:dyDescent="0.25">
      <c r="A30" s="30" t="s">
        <v>2</v>
      </c>
      <c r="B30" s="30" t="s">
        <v>4</v>
      </c>
      <c r="C30" s="30" t="s">
        <v>5</v>
      </c>
      <c r="D30" s="22" t="s">
        <v>3</v>
      </c>
      <c r="E30" s="22"/>
      <c r="F30" s="22"/>
      <c r="G30" s="22"/>
      <c r="H30" s="22" t="s">
        <v>8</v>
      </c>
      <c r="I30" s="22"/>
      <c r="J30" s="22" t="s">
        <v>11</v>
      </c>
    </row>
    <row r="31" spans="1:10" ht="35.1" customHeight="1" x14ac:dyDescent="0.25">
      <c r="A31" s="31"/>
      <c r="B31" s="31"/>
      <c r="C31" s="31"/>
      <c r="D31" s="22" t="s">
        <v>6</v>
      </c>
      <c r="E31" s="22"/>
      <c r="F31" s="22" t="s">
        <v>7</v>
      </c>
      <c r="G31" s="22"/>
      <c r="H31" s="11" t="s">
        <v>9</v>
      </c>
      <c r="I31" s="11" t="s">
        <v>10</v>
      </c>
      <c r="J31" s="22"/>
    </row>
    <row r="32" spans="1:10" ht="35.1" customHeight="1" x14ac:dyDescent="0.25">
      <c r="A32" s="10">
        <v>1</v>
      </c>
      <c r="B32" s="12" t="s">
        <v>207</v>
      </c>
      <c r="C32" s="10" t="s">
        <v>96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ref="J32" si="1">D32+F32</f>
        <v>100</v>
      </c>
    </row>
    <row r="33" spans="1:10" ht="35.1" customHeight="1" x14ac:dyDescent="0.25">
      <c r="A33" s="10">
        <v>2</v>
      </c>
      <c r="B33" s="12" t="s">
        <v>208</v>
      </c>
      <c r="C33" s="10" t="s">
        <v>97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ref="J33:J37" si="2">D33+F33</f>
        <v>100</v>
      </c>
    </row>
    <row r="34" spans="1:10" ht="35.1" customHeight="1" x14ac:dyDescent="0.25">
      <c r="A34" s="10">
        <v>3</v>
      </c>
      <c r="B34" s="12" t="s">
        <v>209</v>
      </c>
      <c r="C34" s="10" t="s">
        <v>98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2"/>
        <v>100</v>
      </c>
    </row>
    <row r="35" spans="1:10" ht="35.1" customHeight="1" x14ac:dyDescent="0.25">
      <c r="A35" s="10">
        <v>4</v>
      </c>
      <c r="B35" s="12" t="s">
        <v>211</v>
      </c>
      <c r="C35" s="10" t="s">
        <v>99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2"/>
        <v>100</v>
      </c>
    </row>
    <row r="36" spans="1:10" ht="35.1" customHeight="1" x14ac:dyDescent="0.25">
      <c r="A36" s="10">
        <v>5</v>
      </c>
      <c r="B36" s="12" t="s">
        <v>210</v>
      </c>
      <c r="C36" s="10" t="s">
        <v>100</v>
      </c>
      <c r="D36" s="10">
        <v>20</v>
      </c>
      <c r="E36" s="10">
        <v>8</v>
      </c>
      <c r="F36" s="10">
        <v>80</v>
      </c>
      <c r="G36" s="10">
        <v>32</v>
      </c>
      <c r="H36" s="10" t="s">
        <v>25</v>
      </c>
      <c r="I36" s="10" t="s">
        <v>25</v>
      </c>
      <c r="J36" s="10">
        <f t="shared" si="2"/>
        <v>100</v>
      </c>
    </row>
    <row r="37" spans="1:10" ht="35.1" customHeight="1" x14ac:dyDescent="0.25">
      <c r="A37" s="10">
        <v>6</v>
      </c>
      <c r="B37" s="12" t="s">
        <v>17</v>
      </c>
      <c r="C37" s="10" t="s">
        <v>101</v>
      </c>
      <c r="D37" s="10">
        <v>20</v>
      </c>
      <c r="E37" s="10">
        <v>8</v>
      </c>
      <c r="F37" s="10">
        <v>80</v>
      </c>
      <c r="G37" s="10">
        <v>32</v>
      </c>
      <c r="H37" s="10" t="s">
        <v>25</v>
      </c>
      <c r="I37" s="10" t="s">
        <v>25</v>
      </c>
      <c r="J37" s="10">
        <f t="shared" si="2"/>
        <v>100</v>
      </c>
    </row>
    <row r="38" spans="1:10" ht="35.1" customHeight="1" x14ac:dyDescent="0.25">
      <c r="A38" s="10">
        <v>7</v>
      </c>
      <c r="B38" s="9" t="s">
        <v>179</v>
      </c>
      <c r="C38" s="10" t="s">
        <v>102</v>
      </c>
      <c r="D38" s="10" t="s">
        <v>25</v>
      </c>
      <c r="E38" s="10" t="s">
        <v>25</v>
      </c>
      <c r="F38" s="10" t="s">
        <v>25</v>
      </c>
      <c r="G38" s="10" t="s">
        <v>25</v>
      </c>
      <c r="H38" s="10">
        <v>100</v>
      </c>
      <c r="I38" s="10">
        <v>40</v>
      </c>
      <c r="J38" s="10">
        <v>100</v>
      </c>
    </row>
    <row r="39" spans="1:10" s="13" customFormat="1" ht="35.1" customHeight="1" x14ac:dyDescent="0.25">
      <c r="A39" s="23" t="s">
        <v>26</v>
      </c>
      <c r="B39" s="24"/>
      <c r="C39" s="25"/>
      <c r="D39" s="11"/>
      <c r="E39" s="11"/>
      <c r="F39" s="11"/>
      <c r="G39" s="11"/>
      <c r="H39" s="11"/>
      <c r="I39" s="11"/>
      <c r="J39" s="11">
        <f>SUM(J32:J38)</f>
        <v>700</v>
      </c>
    </row>
    <row r="40" spans="1:10" ht="15.75" x14ac:dyDescent="0.25">
      <c r="B40" s="2"/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23:J23"/>
    <mergeCell ref="A24:J24"/>
    <mergeCell ref="A26:J26"/>
    <mergeCell ref="A39:C39"/>
    <mergeCell ref="A17:C17"/>
    <mergeCell ref="I29:J29"/>
    <mergeCell ref="A30:A31"/>
    <mergeCell ref="B30:B31"/>
    <mergeCell ref="C30:C31"/>
    <mergeCell ref="D30:G30"/>
    <mergeCell ref="H30:I30"/>
    <mergeCell ref="J30:J31"/>
    <mergeCell ref="D31:E31"/>
    <mergeCell ref="F31:G31"/>
    <mergeCell ref="A25:J25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2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744C-4C7F-473F-B79C-411CBFA96EE4}">
  <sheetPr>
    <pageSetUpPr fitToPage="1"/>
  </sheetPr>
  <dimension ref="A1:J40"/>
  <sheetViews>
    <sheetView topLeftCell="A7" zoomScaleNormal="100" workbookViewId="0">
      <selection activeCell="C13" sqref="C13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0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7"/>
      <c r="B6" s="6" t="s">
        <v>87</v>
      </c>
      <c r="C6" s="6"/>
      <c r="D6" s="6" t="s">
        <v>165</v>
      </c>
      <c r="E6" s="6"/>
      <c r="F6" s="6"/>
      <c r="G6" s="6"/>
      <c r="H6" s="6" t="s">
        <v>166</v>
      </c>
      <c r="I6" s="6"/>
      <c r="J6" s="6"/>
    </row>
    <row r="7" spans="1:10" ht="15.75" x14ac:dyDescent="0.25">
      <c r="I7" s="29" t="s">
        <v>12</v>
      </c>
      <c r="J7" s="29"/>
    </row>
    <row r="8" spans="1:10" ht="35.1" customHeight="1" x14ac:dyDescent="0.25">
      <c r="A8" s="32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0" ht="35.1" customHeight="1" x14ac:dyDescent="0.25">
      <c r="A9" s="33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0" ht="35.1" customHeight="1" x14ac:dyDescent="0.25">
      <c r="A10" s="10">
        <v>1</v>
      </c>
      <c r="B10" s="18" t="s">
        <v>199</v>
      </c>
      <c r="C10" s="10" t="s">
        <v>103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 t="shared" ref="J10:J15" si="0">D10+F10</f>
        <v>100</v>
      </c>
    </row>
    <row r="11" spans="1:10" ht="35.1" customHeight="1" x14ac:dyDescent="0.25">
      <c r="A11" s="10">
        <v>2</v>
      </c>
      <c r="B11" s="18" t="s">
        <v>198</v>
      </c>
      <c r="C11" s="10" t="s">
        <v>105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si="0"/>
        <v>100</v>
      </c>
    </row>
    <row r="12" spans="1:10" ht="35.1" customHeight="1" x14ac:dyDescent="0.25">
      <c r="A12" s="10">
        <v>3</v>
      </c>
      <c r="B12" s="18" t="s">
        <v>200</v>
      </c>
      <c r="C12" s="10" t="s">
        <v>106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0" ht="35.1" customHeight="1" x14ac:dyDescent="0.25">
      <c r="A13" s="10">
        <v>4</v>
      </c>
      <c r="B13" s="18" t="s">
        <v>14</v>
      </c>
      <c r="C13" s="10" t="s">
        <v>107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0" ht="35.1" customHeight="1" x14ac:dyDescent="0.25">
      <c r="A14" s="10">
        <v>5</v>
      </c>
      <c r="B14" s="18" t="s">
        <v>238</v>
      </c>
      <c r="C14" s="10" t="s">
        <v>108</v>
      </c>
      <c r="D14" s="10">
        <v>20</v>
      </c>
      <c r="E14" s="10">
        <v>8</v>
      </c>
      <c r="F14" s="10">
        <v>80</v>
      </c>
      <c r="G14" s="10">
        <v>32</v>
      </c>
      <c r="H14" s="10" t="s">
        <v>25</v>
      </c>
      <c r="I14" s="10" t="s">
        <v>25</v>
      </c>
      <c r="J14" s="10">
        <f t="shared" si="0"/>
        <v>100</v>
      </c>
    </row>
    <row r="15" spans="1:10" ht="35.1" customHeight="1" x14ac:dyDescent="0.25">
      <c r="A15" s="10">
        <v>6</v>
      </c>
      <c r="B15" s="18" t="s">
        <v>201</v>
      </c>
      <c r="C15" s="10" t="s">
        <v>109</v>
      </c>
      <c r="D15" s="10">
        <v>20</v>
      </c>
      <c r="E15" s="10">
        <v>8</v>
      </c>
      <c r="F15" s="10">
        <v>80</v>
      </c>
      <c r="G15" s="10">
        <v>32</v>
      </c>
      <c r="H15" s="10" t="s">
        <v>25</v>
      </c>
      <c r="I15" s="10" t="s">
        <v>25</v>
      </c>
      <c r="J15" s="10">
        <f t="shared" si="0"/>
        <v>100</v>
      </c>
    </row>
    <row r="16" spans="1:10" ht="35.1" customHeight="1" x14ac:dyDescent="0.25">
      <c r="A16" s="10">
        <v>7</v>
      </c>
      <c r="B16" s="18" t="s">
        <v>179</v>
      </c>
      <c r="C16" s="10" t="s">
        <v>110</v>
      </c>
      <c r="D16" s="10" t="s">
        <v>25</v>
      </c>
      <c r="E16" s="10" t="s">
        <v>25</v>
      </c>
      <c r="F16" s="10" t="s">
        <v>25</v>
      </c>
      <c r="G16" s="10" t="s">
        <v>25</v>
      </c>
      <c r="H16" s="10">
        <v>100</v>
      </c>
      <c r="I16" s="10">
        <v>40</v>
      </c>
      <c r="J16" s="10">
        <v>100</v>
      </c>
    </row>
    <row r="17" spans="1:10" s="13" customFormat="1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0" ht="15.75" x14ac:dyDescent="0.25">
      <c r="B18" s="14"/>
    </row>
    <row r="23" spans="1:10" ht="20.25" x14ac:dyDescent="0.3">
      <c r="A23" s="26" t="s">
        <v>0</v>
      </c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8.75" x14ac:dyDescent="0.25">
      <c r="A24" s="27" t="s">
        <v>1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8.75" x14ac:dyDescent="0.25">
      <c r="A25" s="27" t="s">
        <v>215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x14ac:dyDescent="0.25">
      <c r="A26" s="28" t="s">
        <v>13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7"/>
      <c r="B28" s="6" t="s">
        <v>87</v>
      </c>
      <c r="C28" s="6"/>
      <c r="D28" s="6" t="s">
        <v>165</v>
      </c>
      <c r="E28" s="6"/>
      <c r="F28" s="6"/>
      <c r="G28" s="6"/>
      <c r="H28" s="6" t="s">
        <v>167</v>
      </c>
      <c r="I28" s="6"/>
      <c r="J28" s="6"/>
    </row>
    <row r="29" spans="1:10" ht="15.75" x14ac:dyDescent="0.25">
      <c r="I29" s="29" t="s">
        <v>12</v>
      </c>
      <c r="J29" s="29"/>
    </row>
    <row r="30" spans="1:10" ht="35.1" customHeight="1" x14ac:dyDescent="0.25">
      <c r="A30" s="30" t="s">
        <v>2</v>
      </c>
      <c r="B30" s="30" t="s">
        <v>4</v>
      </c>
      <c r="C30" s="30" t="s">
        <v>5</v>
      </c>
      <c r="D30" s="22" t="s">
        <v>3</v>
      </c>
      <c r="E30" s="22"/>
      <c r="F30" s="22"/>
      <c r="G30" s="22"/>
      <c r="H30" s="22" t="s">
        <v>8</v>
      </c>
      <c r="I30" s="22"/>
      <c r="J30" s="22" t="s">
        <v>11</v>
      </c>
    </row>
    <row r="31" spans="1:10" ht="35.1" customHeight="1" x14ac:dyDescent="0.25">
      <c r="A31" s="31"/>
      <c r="B31" s="31"/>
      <c r="C31" s="31"/>
      <c r="D31" s="22" t="s">
        <v>6</v>
      </c>
      <c r="E31" s="22"/>
      <c r="F31" s="22" t="s">
        <v>7</v>
      </c>
      <c r="G31" s="22"/>
      <c r="H31" s="11" t="s">
        <v>9</v>
      </c>
      <c r="I31" s="11" t="s">
        <v>10</v>
      </c>
      <c r="J31" s="22"/>
    </row>
    <row r="32" spans="1:10" ht="35.1" customHeight="1" x14ac:dyDescent="0.25">
      <c r="A32" s="10">
        <v>1</v>
      </c>
      <c r="B32" s="17" t="s">
        <v>194</v>
      </c>
      <c r="C32" s="10" t="s">
        <v>111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ref="J32:J37" si="1">D32+F32</f>
        <v>100</v>
      </c>
    </row>
    <row r="33" spans="1:10" ht="35.1" customHeight="1" x14ac:dyDescent="0.25">
      <c r="A33" s="10">
        <v>2</v>
      </c>
      <c r="B33" s="17" t="s">
        <v>191</v>
      </c>
      <c r="C33" s="10" t="s">
        <v>104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si="1"/>
        <v>100</v>
      </c>
    </row>
    <row r="34" spans="1:10" ht="35.1" customHeight="1" x14ac:dyDescent="0.25">
      <c r="A34" s="10">
        <v>3</v>
      </c>
      <c r="B34" s="17" t="s">
        <v>193</v>
      </c>
      <c r="C34" s="10" t="s">
        <v>112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1"/>
        <v>100</v>
      </c>
    </row>
    <row r="35" spans="1:10" ht="35.1" customHeight="1" x14ac:dyDescent="0.25">
      <c r="A35" s="10">
        <v>4</v>
      </c>
      <c r="B35" s="17" t="s">
        <v>38</v>
      </c>
      <c r="C35" s="10" t="s">
        <v>113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1"/>
        <v>100</v>
      </c>
    </row>
    <row r="36" spans="1:10" ht="35.1" customHeight="1" x14ac:dyDescent="0.25">
      <c r="A36" s="10">
        <v>5</v>
      </c>
      <c r="B36" s="17" t="s">
        <v>27</v>
      </c>
      <c r="C36" s="10" t="s">
        <v>114</v>
      </c>
      <c r="D36" s="10">
        <v>20</v>
      </c>
      <c r="E36" s="10">
        <v>8</v>
      </c>
      <c r="F36" s="10">
        <v>80</v>
      </c>
      <c r="G36" s="10">
        <v>32</v>
      </c>
      <c r="H36" s="10" t="s">
        <v>25</v>
      </c>
      <c r="I36" s="10" t="s">
        <v>25</v>
      </c>
      <c r="J36" s="10">
        <f t="shared" si="1"/>
        <v>100</v>
      </c>
    </row>
    <row r="37" spans="1:10" ht="35.1" customHeight="1" x14ac:dyDescent="0.25">
      <c r="A37" s="10">
        <v>6</v>
      </c>
      <c r="B37" s="17" t="s">
        <v>192</v>
      </c>
      <c r="C37" s="10" t="s">
        <v>115</v>
      </c>
      <c r="D37" s="10">
        <v>20</v>
      </c>
      <c r="E37" s="10">
        <v>8</v>
      </c>
      <c r="F37" s="10">
        <v>80</v>
      </c>
      <c r="G37" s="10">
        <v>32</v>
      </c>
      <c r="H37" s="10" t="s">
        <v>25</v>
      </c>
      <c r="I37" s="10" t="s">
        <v>25</v>
      </c>
      <c r="J37" s="10">
        <f t="shared" si="1"/>
        <v>100</v>
      </c>
    </row>
    <row r="38" spans="1:10" ht="35.1" customHeight="1" x14ac:dyDescent="0.25">
      <c r="A38" s="10">
        <v>7</v>
      </c>
      <c r="B38" s="9" t="s">
        <v>179</v>
      </c>
      <c r="C38" s="10" t="s">
        <v>116</v>
      </c>
      <c r="D38" s="10" t="s">
        <v>25</v>
      </c>
      <c r="E38" s="10" t="s">
        <v>25</v>
      </c>
      <c r="F38" s="10" t="s">
        <v>25</v>
      </c>
      <c r="G38" s="10" t="s">
        <v>25</v>
      </c>
      <c r="H38" s="10">
        <v>100</v>
      </c>
      <c r="I38" s="10">
        <v>40</v>
      </c>
      <c r="J38" s="10">
        <v>100</v>
      </c>
    </row>
    <row r="39" spans="1:10" s="13" customFormat="1" ht="35.1" customHeight="1" x14ac:dyDescent="0.25">
      <c r="A39" s="23" t="s">
        <v>26</v>
      </c>
      <c r="B39" s="24"/>
      <c r="C39" s="25"/>
      <c r="D39" s="11"/>
      <c r="E39" s="11"/>
      <c r="F39" s="11"/>
      <c r="G39" s="11"/>
      <c r="H39" s="11"/>
      <c r="I39" s="11"/>
      <c r="J39" s="11">
        <f>SUM(J32:J38)</f>
        <v>700</v>
      </c>
    </row>
    <row r="40" spans="1:10" ht="15.75" x14ac:dyDescent="0.25">
      <c r="B40" s="2"/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17:C17"/>
    <mergeCell ref="A23:J23"/>
    <mergeCell ref="A24:J24"/>
    <mergeCell ref="A25:J25"/>
    <mergeCell ref="A39:C39"/>
    <mergeCell ref="I29:J29"/>
    <mergeCell ref="A30:A31"/>
    <mergeCell ref="B30:B31"/>
    <mergeCell ref="C30:C31"/>
    <mergeCell ref="D30:G30"/>
    <mergeCell ref="H30:I30"/>
    <mergeCell ref="J30:J31"/>
    <mergeCell ref="D31:E31"/>
    <mergeCell ref="F31:G31"/>
    <mergeCell ref="A26:J26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2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1B40-821B-496E-BD5B-BA448EE99995}">
  <sheetPr>
    <pageSetUpPr fitToPage="1"/>
  </sheetPr>
  <dimension ref="A1:J39"/>
  <sheetViews>
    <sheetView topLeftCell="A10" zoomScaleNormal="100" workbookViewId="0">
      <selection activeCell="F14" sqref="F14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0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7"/>
      <c r="B6" s="6" t="s">
        <v>87</v>
      </c>
      <c r="C6" s="6"/>
      <c r="D6" s="6" t="s">
        <v>162</v>
      </c>
      <c r="E6" s="6"/>
      <c r="F6" s="6"/>
      <c r="G6" s="6"/>
      <c r="H6" s="6" t="s">
        <v>163</v>
      </c>
      <c r="I6" s="6"/>
      <c r="J6" s="6"/>
    </row>
    <row r="7" spans="1:10" ht="15.75" x14ac:dyDescent="0.25">
      <c r="I7" s="29" t="s">
        <v>12</v>
      </c>
      <c r="J7" s="29"/>
    </row>
    <row r="8" spans="1:10" ht="35.1" customHeight="1" x14ac:dyDescent="0.25">
      <c r="A8" s="32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0" ht="35.1" customHeight="1" x14ac:dyDescent="0.25">
      <c r="A9" s="33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0" ht="35.1" customHeight="1" x14ac:dyDescent="0.25">
      <c r="A10" s="10">
        <v>1</v>
      </c>
      <c r="B10" s="17" t="s">
        <v>187</v>
      </c>
      <c r="C10" s="16" t="s">
        <v>117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 t="shared" ref="J10:J15" si="0">D10+F10</f>
        <v>100</v>
      </c>
    </row>
    <row r="11" spans="1:10" ht="35.1" customHeight="1" x14ac:dyDescent="0.25">
      <c r="A11" s="10">
        <v>2</v>
      </c>
      <c r="B11" s="17" t="s">
        <v>197</v>
      </c>
      <c r="C11" s="16" t="s">
        <v>118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si="0"/>
        <v>100</v>
      </c>
    </row>
    <row r="12" spans="1:10" ht="35.1" customHeight="1" x14ac:dyDescent="0.25">
      <c r="A12" s="10">
        <v>3</v>
      </c>
      <c r="B12" s="17" t="s">
        <v>48</v>
      </c>
      <c r="C12" s="16" t="s">
        <v>119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0" ht="35.1" customHeight="1" x14ac:dyDescent="0.25">
      <c r="A13" s="10">
        <v>4</v>
      </c>
      <c r="B13" s="17" t="s">
        <v>188</v>
      </c>
      <c r="C13" s="16" t="s">
        <v>120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0" ht="35.1" customHeight="1" x14ac:dyDescent="0.25">
      <c r="A14" s="10">
        <v>5</v>
      </c>
      <c r="B14" s="17" t="s">
        <v>212</v>
      </c>
      <c r="C14" s="16" t="s">
        <v>121</v>
      </c>
      <c r="D14" s="10">
        <v>20</v>
      </c>
      <c r="E14" s="10">
        <v>8</v>
      </c>
      <c r="F14" s="10">
        <v>80</v>
      </c>
      <c r="G14" s="10">
        <v>32</v>
      </c>
      <c r="H14" s="10" t="s">
        <v>25</v>
      </c>
      <c r="I14" s="10" t="s">
        <v>25</v>
      </c>
      <c r="J14" s="10">
        <f t="shared" si="0"/>
        <v>100</v>
      </c>
    </row>
    <row r="15" spans="1:10" ht="51" customHeight="1" x14ac:dyDescent="0.25">
      <c r="A15" s="10">
        <v>6</v>
      </c>
      <c r="B15" s="17" t="s">
        <v>232</v>
      </c>
      <c r="C15" s="16" t="s">
        <v>122</v>
      </c>
      <c r="D15" s="10">
        <v>20</v>
      </c>
      <c r="E15" s="10">
        <v>8</v>
      </c>
      <c r="F15" s="10">
        <v>80</v>
      </c>
      <c r="G15" s="10">
        <v>32</v>
      </c>
      <c r="H15" s="10" t="s">
        <v>25</v>
      </c>
      <c r="I15" s="10" t="s">
        <v>25</v>
      </c>
      <c r="J15" s="10">
        <f t="shared" si="0"/>
        <v>100</v>
      </c>
    </row>
    <row r="16" spans="1:10" ht="35.1" customHeight="1" x14ac:dyDescent="0.25">
      <c r="A16" s="10">
        <v>7</v>
      </c>
      <c r="B16" s="9" t="s">
        <v>179</v>
      </c>
      <c r="C16" s="16" t="s">
        <v>123</v>
      </c>
      <c r="D16" s="10" t="s">
        <v>25</v>
      </c>
      <c r="E16" s="10" t="s">
        <v>25</v>
      </c>
      <c r="F16" s="10" t="s">
        <v>25</v>
      </c>
      <c r="G16" s="10" t="s">
        <v>25</v>
      </c>
      <c r="H16" s="10">
        <v>100</v>
      </c>
      <c r="I16" s="10">
        <v>40</v>
      </c>
      <c r="J16" s="10">
        <v>100</v>
      </c>
    </row>
    <row r="17" spans="1:10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22" spans="1:10" ht="20.25" x14ac:dyDescent="0.3">
      <c r="A22" s="26" t="s">
        <v>0</v>
      </c>
      <c r="B22" s="26"/>
      <c r="C22" s="26"/>
      <c r="D22" s="26"/>
      <c r="E22" s="26"/>
      <c r="F22" s="26"/>
      <c r="G22" s="26"/>
      <c r="H22" s="26"/>
      <c r="I22" s="26"/>
      <c r="J22" s="26"/>
    </row>
    <row r="23" spans="1:10" ht="18.75" x14ac:dyDescent="0.25">
      <c r="A23" s="27" t="s">
        <v>1</v>
      </c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8.75" x14ac:dyDescent="0.25">
      <c r="A24" s="27" t="s">
        <v>215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5.75" x14ac:dyDescent="0.25">
      <c r="A25" s="28" t="s">
        <v>13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7"/>
      <c r="B27" s="6" t="s">
        <v>87</v>
      </c>
      <c r="C27" s="6"/>
      <c r="D27" s="6" t="s">
        <v>162</v>
      </c>
      <c r="E27" s="6"/>
      <c r="F27" s="6"/>
      <c r="G27" s="6"/>
      <c r="H27" s="6" t="s">
        <v>164</v>
      </c>
      <c r="I27" s="6"/>
      <c r="J27" s="6"/>
    </row>
    <row r="28" spans="1:10" ht="15.75" x14ac:dyDescent="0.25">
      <c r="I28" s="29" t="s">
        <v>12</v>
      </c>
      <c r="J28" s="29"/>
    </row>
    <row r="29" spans="1:10" ht="35.1" customHeight="1" x14ac:dyDescent="0.25">
      <c r="A29" s="30" t="s">
        <v>2</v>
      </c>
      <c r="B29" s="30" t="s">
        <v>4</v>
      </c>
      <c r="C29" s="30" t="s">
        <v>5</v>
      </c>
      <c r="D29" s="22" t="s">
        <v>3</v>
      </c>
      <c r="E29" s="22"/>
      <c r="F29" s="22"/>
      <c r="G29" s="22"/>
      <c r="H29" s="22" t="s">
        <v>8</v>
      </c>
      <c r="I29" s="22"/>
      <c r="J29" s="22" t="s">
        <v>11</v>
      </c>
    </row>
    <row r="30" spans="1:10" ht="35.1" customHeight="1" x14ac:dyDescent="0.25">
      <c r="A30" s="31"/>
      <c r="B30" s="31"/>
      <c r="C30" s="31"/>
      <c r="D30" s="22" t="s">
        <v>6</v>
      </c>
      <c r="E30" s="22"/>
      <c r="F30" s="22" t="s">
        <v>7</v>
      </c>
      <c r="G30" s="22"/>
      <c r="H30" s="11" t="s">
        <v>9</v>
      </c>
      <c r="I30" s="11" t="s">
        <v>10</v>
      </c>
      <c r="J30" s="22"/>
    </row>
    <row r="31" spans="1:10" ht="35.1" customHeight="1" x14ac:dyDescent="0.25">
      <c r="A31" s="10">
        <v>1</v>
      </c>
      <c r="B31" s="17" t="s">
        <v>195</v>
      </c>
      <c r="C31" s="10" t="s">
        <v>124</v>
      </c>
      <c r="D31" s="10">
        <v>20</v>
      </c>
      <c r="E31" s="10">
        <v>8</v>
      </c>
      <c r="F31" s="10">
        <v>80</v>
      </c>
      <c r="G31" s="10">
        <v>32</v>
      </c>
      <c r="H31" s="10" t="s">
        <v>25</v>
      </c>
      <c r="I31" s="10" t="s">
        <v>25</v>
      </c>
      <c r="J31" s="10">
        <f t="shared" ref="J31:J36" si="1">D31+F31</f>
        <v>100</v>
      </c>
    </row>
    <row r="32" spans="1:10" ht="35.1" customHeight="1" x14ac:dyDescent="0.25">
      <c r="A32" s="10">
        <v>2</v>
      </c>
      <c r="B32" s="17" t="s">
        <v>196</v>
      </c>
      <c r="C32" s="10" t="s">
        <v>125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si="1"/>
        <v>100</v>
      </c>
    </row>
    <row r="33" spans="1:10" ht="35.1" customHeight="1" x14ac:dyDescent="0.25">
      <c r="A33" s="10">
        <v>3</v>
      </c>
      <c r="B33" s="17" t="s">
        <v>62</v>
      </c>
      <c r="C33" s="10" t="s">
        <v>126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si="1"/>
        <v>100</v>
      </c>
    </row>
    <row r="34" spans="1:10" ht="35.1" customHeight="1" x14ac:dyDescent="0.25">
      <c r="A34" s="10">
        <v>4</v>
      </c>
      <c r="B34" s="17" t="s">
        <v>189</v>
      </c>
      <c r="C34" s="10" t="s">
        <v>127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1"/>
        <v>100</v>
      </c>
    </row>
    <row r="35" spans="1:10" ht="35.1" customHeight="1" x14ac:dyDescent="0.25">
      <c r="A35" s="10">
        <v>5</v>
      </c>
      <c r="B35" s="17" t="s">
        <v>213</v>
      </c>
      <c r="C35" s="10" t="s">
        <v>128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1"/>
        <v>100</v>
      </c>
    </row>
    <row r="36" spans="1:10" ht="35.1" customHeight="1" x14ac:dyDescent="0.25">
      <c r="A36" s="10">
        <v>6</v>
      </c>
      <c r="B36" s="17" t="s">
        <v>190</v>
      </c>
      <c r="C36" s="10" t="s">
        <v>129</v>
      </c>
      <c r="D36" s="10">
        <v>20</v>
      </c>
      <c r="E36" s="10">
        <v>8</v>
      </c>
      <c r="F36" s="10">
        <v>80</v>
      </c>
      <c r="G36" s="10">
        <v>32</v>
      </c>
      <c r="H36" s="10" t="s">
        <v>25</v>
      </c>
      <c r="I36" s="10" t="s">
        <v>25</v>
      </c>
      <c r="J36" s="10">
        <f t="shared" si="1"/>
        <v>100</v>
      </c>
    </row>
    <row r="37" spans="1:10" ht="35.1" customHeight="1" x14ac:dyDescent="0.25">
      <c r="A37" s="10">
        <v>7</v>
      </c>
      <c r="B37" s="9" t="s">
        <v>179</v>
      </c>
      <c r="C37" s="10" t="s">
        <v>130</v>
      </c>
      <c r="D37" s="10" t="s">
        <v>25</v>
      </c>
      <c r="E37" s="10" t="s">
        <v>25</v>
      </c>
      <c r="F37" s="10" t="s">
        <v>25</v>
      </c>
      <c r="G37" s="10" t="s">
        <v>25</v>
      </c>
      <c r="H37" s="10">
        <v>100</v>
      </c>
      <c r="I37" s="10">
        <v>40</v>
      </c>
      <c r="J37" s="10">
        <v>100</v>
      </c>
    </row>
    <row r="38" spans="1:10" ht="35.1" customHeight="1" x14ac:dyDescent="0.25">
      <c r="A38" s="23" t="s">
        <v>26</v>
      </c>
      <c r="B38" s="24"/>
      <c r="C38" s="25"/>
      <c r="D38" s="11"/>
      <c r="E38" s="11"/>
      <c r="F38" s="11"/>
      <c r="G38" s="11"/>
      <c r="H38" s="11"/>
      <c r="I38" s="11"/>
      <c r="J38" s="11">
        <f>SUM(J31:J37)</f>
        <v>700</v>
      </c>
    </row>
    <row r="39" spans="1:10" ht="15.75" x14ac:dyDescent="0.25">
      <c r="B39" s="2"/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17:C17"/>
    <mergeCell ref="A22:J22"/>
    <mergeCell ref="A23:J23"/>
    <mergeCell ref="A24:J24"/>
    <mergeCell ref="A38:C38"/>
    <mergeCell ref="I28:J28"/>
    <mergeCell ref="A29:A30"/>
    <mergeCell ref="B29:B30"/>
    <mergeCell ref="C29:C30"/>
    <mergeCell ref="D29:G29"/>
    <mergeCell ref="H29:I29"/>
    <mergeCell ref="J29:J30"/>
    <mergeCell ref="D30:E30"/>
    <mergeCell ref="F30:G30"/>
    <mergeCell ref="A25:J25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F75E-0520-4C59-8B86-A56CA8E782A3}">
  <sheetPr>
    <pageSetUpPr fitToPage="1"/>
  </sheetPr>
  <dimension ref="A1:J41"/>
  <sheetViews>
    <sheetView topLeftCell="A10" zoomScaleNormal="100" workbookViewId="0">
      <selection activeCell="C14" sqref="C14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0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7"/>
      <c r="B6" s="6" t="s">
        <v>87</v>
      </c>
      <c r="C6" s="6"/>
      <c r="D6" s="6" t="s">
        <v>159</v>
      </c>
      <c r="E6" s="6"/>
      <c r="F6" s="6"/>
      <c r="G6" s="6"/>
      <c r="H6" s="6" t="s">
        <v>160</v>
      </c>
      <c r="I6" s="6"/>
      <c r="J6" s="6"/>
    </row>
    <row r="7" spans="1:10" ht="15.75" x14ac:dyDescent="0.25">
      <c r="I7" s="29" t="s">
        <v>12</v>
      </c>
      <c r="J7" s="29"/>
    </row>
    <row r="8" spans="1:10" ht="35.1" customHeight="1" x14ac:dyDescent="0.25">
      <c r="A8" s="32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0" ht="35.1" customHeight="1" x14ac:dyDescent="0.25">
      <c r="A9" s="33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0" ht="35.1" customHeight="1" x14ac:dyDescent="0.25">
      <c r="A10" s="10">
        <v>1</v>
      </c>
      <c r="B10" s="18" t="s">
        <v>63</v>
      </c>
      <c r="C10" s="10" t="s">
        <v>131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 t="shared" ref="J10:J13" si="0">D10+F10</f>
        <v>100</v>
      </c>
    </row>
    <row r="11" spans="1:10" ht="35.1" customHeight="1" x14ac:dyDescent="0.25">
      <c r="A11" s="10">
        <v>2</v>
      </c>
      <c r="B11" s="19" t="s">
        <v>50</v>
      </c>
      <c r="C11" s="10" t="s">
        <v>132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si="0"/>
        <v>100</v>
      </c>
    </row>
    <row r="12" spans="1:10" ht="35.1" customHeight="1" x14ac:dyDescent="0.25">
      <c r="A12" s="10">
        <v>3</v>
      </c>
      <c r="B12" s="18" t="s">
        <v>184</v>
      </c>
      <c r="C12" s="10" t="s">
        <v>133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0" ht="35.1" customHeight="1" x14ac:dyDescent="0.25">
      <c r="A13" s="10">
        <v>4</v>
      </c>
      <c r="B13" s="18" t="s">
        <v>74</v>
      </c>
      <c r="C13" s="10" t="s">
        <v>134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0" ht="35.1" customHeight="1" x14ac:dyDescent="0.25">
      <c r="A14" s="10">
        <v>5</v>
      </c>
      <c r="B14" s="18" t="s">
        <v>239</v>
      </c>
      <c r="C14" s="10" t="s">
        <v>135</v>
      </c>
      <c r="D14" s="10" t="s">
        <v>25</v>
      </c>
      <c r="E14" s="10" t="s">
        <v>25</v>
      </c>
      <c r="F14" s="10">
        <v>80</v>
      </c>
      <c r="G14" s="10">
        <v>32</v>
      </c>
      <c r="H14" s="10" t="s">
        <v>46</v>
      </c>
      <c r="I14" s="10">
        <v>8</v>
      </c>
      <c r="J14" s="10">
        <v>100</v>
      </c>
    </row>
    <row r="15" spans="1:10" ht="35.1" customHeight="1" x14ac:dyDescent="0.25">
      <c r="A15" s="10">
        <v>6</v>
      </c>
      <c r="B15" s="9" t="s">
        <v>179</v>
      </c>
      <c r="C15" s="10" t="s">
        <v>136</v>
      </c>
      <c r="D15" s="10" t="s">
        <v>25</v>
      </c>
      <c r="E15" s="10" t="s">
        <v>25</v>
      </c>
      <c r="F15" s="10" t="s">
        <v>25</v>
      </c>
      <c r="G15" s="10" t="s">
        <v>25</v>
      </c>
      <c r="H15" s="10">
        <v>100</v>
      </c>
      <c r="I15" s="10">
        <v>40</v>
      </c>
      <c r="J15" s="10">
        <v>100</v>
      </c>
    </row>
    <row r="16" spans="1:10" ht="35.1" customHeight="1" x14ac:dyDescent="0.25">
      <c r="A16" s="10">
        <v>7</v>
      </c>
      <c r="B16" s="9" t="s">
        <v>234</v>
      </c>
      <c r="C16" s="10" t="s">
        <v>228</v>
      </c>
      <c r="D16" s="10">
        <v>20</v>
      </c>
      <c r="E16" s="10">
        <v>8</v>
      </c>
      <c r="F16" s="10">
        <v>80</v>
      </c>
      <c r="G16" s="10">
        <v>32</v>
      </c>
      <c r="H16" s="10" t="s">
        <v>25</v>
      </c>
      <c r="I16" s="10" t="s">
        <v>25</v>
      </c>
      <c r="J16" s="10">
        <f t="shared" ref="J16" si="1">D16+F16</f>
        <v>100</v>
      </c>
    </row>
    <row r="17" spans="1:10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0" ht="15.75" x14ac:dyDescent="0.25">
      <c r="B18" s="14" t="s">
        <v>137</v>
      </c>
    </row>
    <row r="19" spans="1:10" ht="15.75" x14ac:dyDescent="0.25">
      <c r="B19" s="2"/>
    </row>
    <row r="23" spans="1:10" ht="20.25" x14ac:dyDescent="0.3">
      <c r="A23" s="26" t="s">
        <v>0</v>
      </c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8.75" x14ac:dyDescent="0.25">
      <c r="A24" s="27" t="s">
        <v>1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8.75" x14ac:dyDescent="0.25">
      <c r="A25" s="27" t="s">
        <v>215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x14ac:dyDescent="0.25">
      <c r="A26" s="28" t="s">
        <v>13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7"/>
      <c r="B28" s="6" t="s">
        <v>87</v>
      </c>
      <c r="C28" s="6"/>
      <c r="D28" s="6" t="s">
        <v>159</v>
      </c>
      <c r="E28" s="6"/>
      <c r="F28" s="6"/>
      <c r="G28" s="6"/>
      <c r="H28" s="6" t="s">
        <v>161</v>
      </c>
      <c r="I28" s="6"/>
      <c r="J28" s="6"/>
    </row>
    <row r="29" spans="1:10" ht="15.75" x14ac:dyDescent="0.25">
      <c r="I29" s="29" t="s">
        <v>12</v>
      </c>
      <c r="J29" s="29"/>
    </row>
    <row r="30" spans="1:10" ht="35.1" customHeight="1" x14ac:dyDescent="0.25">
      <c r="A30" s="30" t="s">
        <v>2</v>
      </c>
      <c r="B30" s="30" t="s">
        <v>4</v>
      </c>
      <c r="C30" s="30" t="s">
        <v>5</v>
      </c>
      <c r="D30" s="22" t="s">
        <v>3</v>
      </c>
      <c r="E30" s="22"/>
      <c r="F30" s="22"/>
      <c r="G30" s="22"/>
      <c r="H30" s="22" t="s">
        <v>8</v>
      </c>
      <c r="I30" s="22"/>
      <c r="J30" s="22" t="s">
        <v>11</v>
      </c>
    </row>
    <row r="31" spans="1:10" ht="35.1" customHeight="1" x14ac:dyDescent="0.25">
      <c r="A31" s="31"/>
      <c r="B31" s="31"/>
      <c r="C31" s="31"/>
      <c r="D31" s="22" t="s">
        <v>6</v>
      </c>
      <c r="E31" s="22"/>
      <c r="F31" s="22" t="s">
        <v>7</v>
      </c>
      <c r="G31" s="22"/>
      <c r="H31" s="11" t="s">
        <v>9</v>
      </c>
      <c r="I31" s="11" t="s">
        <v>10</v>
      </c>
      <c r="J31" s="22"/>
    </row>
    <row r="32" spans="1:10" ht="35.1" customHeight="1" x14ac:dyDescent="0.25">
      <c r="A32" s="8">
        <v>1</v>
      </c>
      <c r="B32" s="9" t="s">
        <v>214</v>
      </c>
      <c r="C32" s="10" t="s">
        <v>138</v>
      </c>
      <c r="D32" s="8">
        <v>20</v>
      </c>
      <c r="E32" s="8">
        <v>8</v>
      </c>
      <c r="F32" s="8">
        <v>80</v>
      </c>
      <c r="G32" s="8">
        <v>32</v>
      </c>
      <c r="H32" s="8" t="s">
        <v>25</v>
      </c>
      <c r="I32" s="8" t="s">
        <v>25</v>
      </c>
      <c r="J32" s="8">
        <f t="shared" ref="J32:J35" si="2">D32+F32</f>
        <v>100</v>
      </c>
    </row>
    <row r="33" spans="1:10" ht="35.1" customHeight="1" x14ac:dyDescent="0.25">
      <c r="A33" s="8">
        <v>2</v>
      </c>
      <c r="B33" s="9" t="s">
        <v>59</v>
      </c>
      <c r="C33" s="10" t="s">
        <v>139</v>
      </c>
      <c r="D33" s="8">
        <v>20</v>
      </c>
      <c r="E33" s="8">
        <v>8</v>
      </c>
      <c r="F33" s="8">
        <v>80</v>
      </c>
      <c r="G33" s="8">
        <v>32</v>
      </c>
      <c r="H33" s="8" t="s">
        <v>25</v>
      </c>
      <c r="I33" s="8" t="s">
        <v>25</v>
      </c>
      <c r="J33" s="8">
        <f t="shared" si="2"/>
        <v>100</v>
      </c>
    </row>
    <row r="34" spans="1:10" ht="35.1" customHeight="1" x14ac:dyDescent="0.25">
      <c r="A34" s="8">
        <v>3</v>
      </c>
      <c r="B34" s="9" t="s">
        <v>185</v>
      </c>
      <c r="C34" s="10" t="s">
        <v>140</v>
      </c>
      <c r="D34" s="8">
        <v>20</v>
      </c>
      <c r="E34" s="8">
        <v>8</v>
      </c>
      <c r="F34" s="8">
        <v>80</v>
      </c>
      <c r="G34" s="8">
        <v>32</v>
      </c>
      <c r="H34" s="8" t="s">
        <v>25</v>
      </c>
      <c r="I34" s="8" t="s">
        <v>25</v>
      </c>
      <c r="J34" s="8">
        <f t="shared" si="2"/>
        <v>100</v>
      </c>
    </row>
    <row r="35" spans="1:10" ht="35.1" customHeight="1" x14ac:dyDescent="0.25">
      <c r="A35" s="8">
        <v>4</v>
      </c>
      <c r="B35" s="9" t="s">
        <v>186</v>
      </c>
      <c r="C35" s="10" t="s">
        <v>141</v>
      </c>
      <c r="D35" s="8">
        <v>20</v>
      </c>
      <c r="E35" s="8">
        <v>8</v>
      </c>
      <c r="F35" s="8">
        <v>80</v>
      </c>
      <c r="G35" s="8">
        <v>32</v>
      </c>
      <c r="H35" s="8" t="s">
        <v>25</v>
      </c>
      <c r="I35" s="8" t="s">
        <v>25</v>
      </c>
      <c r="J35" s="8">
        <f t="shared" si="2"/>
        <v>100</v>
      </c>
    </row>
    <row r="36" spans="1:10" ht="35.1" customHeight="1" x14ac:dyDescent="0.25">
      <c r="A36" s="8">
        <v>5</v>
      </c>
      <c r="B36" s="9" t="s">
        <v>47</v>
      </c>
      <c r="C36" s="10" t="s">
        <v>142</v>
      </c>
      <c r="D36" s="10" t="s">
        <v>25</v>
      </c>
      <c r="E36" s="10" t="s">
        <v>25</v>
      </c>
      <c r="F36" s="10">
        <v>80</v>
      </c>
      <c r="G36" s="10">
        <v>32</v>
      </c>
      <c r="H36" s="10" t="s">
        <v>46</v>
      </c>
      <c r="I36" s="10">
        <v>8</v>
      </c>
      <c r="J36" s="10">
        <v>100</v>
      </c>
    </row>
    <row r="37" spans="1:10" ht="35.1" customHeight="1" x14ac:dyDescent="0.25">
      <c r="A37" s="8">
        <v>6</v>
      </c>
      <c r="B37" s="9" t="s">
        <v>179</v>
      </c>
      <c r="C37" s="10" t="s">
        <v>143</v>
      </c>
      <c r="D37" s="8" t="s">
        <v>25</v>
      </c>
      <c r="E37" s="8" t="s">
        <v>25</v>
      </c>
      <c r="F37" s="8" t="s">
        <v>25</v>
      </c>
      <c r="G37" s="8" t="s">
        <v>25</v>
      </c>
      <c r="H37" s="8">
        <v>100</v>
      </c>
      <c r="I37" s="8">
        <v>40</v>
      </c>
      <c r="J37" s="8">
        <v>100</v>
      </c>
    </row>
    <row r="38" spans="1:10" ht="35.1" customHeight="1" x14ac:dyDescent="0.25">
      <c r="A38" s="8">
        <v>7</v>
      </c>
      <c r="B38" s="9" t="s">
        <v>236</v>
      </c>
      <c r="C38" s="10" t="s">
        <v>235</v>
      </c>
      <c r="D38" s="8">
        <v>20</v>
      </c>
      <c r="E38" s="8">
        <v>8</v>
      </c>
      <c r="F38" s="8">
        <v>80</v>
      </c>
      <c r="G38" s="8">
        <v>32</v>
      </c>
      <c r="H38" s="8" t="s">
        <v>25</v>
      </c>
      <c r="I38" s="8" t="s">
        <v>25</v>
      </c>
      <c r="J38" s="8">
        <f t="shared" ref="J38" si="3">D38+F38</f>
        <v>100</v>
      </c>
    </row>
    <row r="39" spans="1:10" ht="35.1" customHeight="1" x14ac:dyDescent="0.25">
      <c r="A39" s="23" t="s">
        <v>26</v>
      </c>
      <c r="B39" s="24"/>
      <c r="C39" s="25"/>
      <c r="D39" s="11"/>
      <c r="E39" s="11"/>
      <c r="F39" s="11"/>
      <c r="G39" s="11"/>
      <c r="H39" s="11"/>
      <c r="I39" s="11"/>
      <c r="J39" s="11">
        <f>SUM(J32:J38)</f>
        <v>700</v>
      </c>
    </row>
    <row r="40" spans="1:10" ht="15.75" x14ac:dyDescent="0.25">
      <c r="B40" s="14" t="s">
        <v>137</v>
      </c>
    </row>
    <row r="41" spans="1:10" ht="15.75" x14ac:dyDescent="0.25">
      <c r="B41" s="2"/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17:C17"/>
    <mergeCell ref="A23:J23"/>
    <mergeCell ref="A24:J24"/>
    <mergeCell ref="A25:J25"/>
    <mergeCell ref="A39:C39"/>
    <mergeCell ref="I29:J29"/>
    <mergeCell ref="A30:A31"/>
    <mergeCell ref="B30:B31"/>
    <mergeCell ref="C30:C31"/>
    <mergeCell ref="D30:G30"/>
    <mergeCell ref="H30:I30"/>
    <mergeCell ref="J30:J31"/>
    <mergeCell ref="D31:E31"/>
    <mergeCell ref="F31:G31"/>
    <mergeCell ref="A26:J26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2" max="9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C4D5-79F1-4631-81D7-75FEAA7D6421}">
  <sheetPr>
    <pageSetUpPr fitToPage="1"/>
  </sheetPr>
  <dimension ref="A1:J40"/>
  <sheetViews>
    <sheetView tabSelected="1" topLeftCell="A10" zoomScaleNormal="100" workbookViewId="0">
      <selection activeCell="M11" sqref="M11"/>
    </sheetView>
  </sheetViews>
  <sheetFormatPr defaultRowHeight="15" x14ac:dyDescent="0.25"/>
  <cols>
    <col min="1" max="1" width="5.7109375" style="4" customWidth="1"/>
    <col min="2" max="2" width="31.28515625" style="4" customWidth="1"/>
    <col min="3" max="3" width="13.7109375" style="4" bestFit="1" customWidth="1"/>
    <col min="4" max="4" width="8.7109375" style="4" customWidth="1"/>
    <col min="5" max="5" width="8.28515625" style="4" customWidth="1"/>
    <col min="6" max="6" width="8.42578125" style="4" customWidth="1"/>
    <col min="7" max="7" width="8.140625" style="4" customWidth="1"/>
    <col min="8" max="8" width="12.5703125" style="4" customWidth="1"/>
    <col min="9" max="9" width="12.140625" style="4" bestFit="1" customWidth="1"/>
    <col min="10" max="10" width="9.140625" style="4"/>
  </cols>
  <sheetData>
    <row r="1" spans="1:10" ht="20.2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.75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8.75" x14ac:dyDescent="0.25">
      <c r="A3" s="27" t="s">
        <v>215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.75" x14ac:dyDescent="0.25">
      <c r="A4" s="28" t="s">
        <v>13</v>
      </c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7"/>
      <c r="B6" s="6" t="s">
        <v>87</v>
      </c>
      <c r="C6" s="6"/>
      <c r="D6" s="6" t="s">
        <v>156</v>
      </c>
      <c r="E6" s="6"/>
      <c r="F6" s="6"/>
      <c r="G6" s="6"/>
      <c r="H6" s="6" t="s">
        <v>158</v>
      </c>
      <c r="I6" s="6"/>
      <c r="J6" s="6"/>
    </row>
    <row r="7" spans="1:10" ht="15.75" x14ac:dyDescent="0.25">
      <c r="I7" s="29" t="s">
        <v>12</v>
      </c>
      <c r="J7" s="29"/>
    </row>
    <row r="8" spans="1:10" ht="35.1" customHeight="1" x14ac:dyDescent="0.25">
      <c r="A8" s="32" t="s">
        <v>2</v>
      </c>
      <c r="B8" s="30" t="s">
        <v>4</v>
      </c>
      <c r="C8" s="30" t="s">
        <v>5</v>
      </c>
      <c r="D8" s="22" t="s">
        <v>3</v>
      </c>
      <c r="E8" s="22"/>
      <c r="F8" s="22"/>
      <c r="G8" s="22"/>
      <c r="H8" s="22" t="s">
        <v>8</v>
      </c>
      <c r="I8" s="22"/>
      <c r="J8" s="22" t="s">
        <v>11</v>
      </c>
    </row>
    <row r="9" spans="1:10" ht="35.1" customHeight="1" x14ac:dyDescent="0.25">
      <c r="A9" s="33"/>
      <c r="B9" s="31"/>
      <c r="C9" s="31"/>
      <c r="D9" s="22" t="s">
        <v>6</v>
      </c>
      <c r="E9" s="22"/>
      <c r="F9" s="22" t="s">
        <v>7</v>
      </c>
      <c r="G9" s="22"/>
      <c r="H9" s="11" t="s">
        <v>9</v>
      </c>
      <c r="I9" s="11" t="s">
        <v>10</v>
      </c>
      <c r="J9" s="22"/>
    </row>
    <row r="10" spans="1:10" ht="35.1" customHeight="1" x14ac:dyDescent="0.25">
      <c r="A10" s="10">
        <v>1</v>
      </c>
      <c r="B10" s="18" t="s">
        <v>176</v>
      </c>
      <c r="C10" s="10" t="s">
        <v>144</v>
      </c>
      <c r="D10" s="10">
        <v>20</v>
      </c>
      <c r="E10" s="10">
        <v>8</v>
      </c>
      <c r="F10" s="10">
        <v>80</v>
      </c>
      <c r="G10" s="10">
        <v>32</v>
      </c>
      <c r="H10" s="10" t="s">
        <v>25</v>
      </c>
      <c r="I10" s="10" t="s">
        <v>25</v>
      </c>
      <c r="J10" s="10">
        <f t="shared" ref="J10:J13" si="0">D10+F10</f>
        <v>100</v>
      </c>
    </row>
    <row r="11" spans="1:10" ht="35.1" customHeight="1" x14ac:dyDescent="0.25">
      <c r="A11" s="10">
        <v>2</v>
      </c>
      <c r="B11" s="18" t="s">
        <v>177</v>
      </c>
      <c r="C11" s="10" t="s">
        <v>146</v>
      </c>
      <c r="D11" s="10">
        <v>20</v>
      </c>
      <c r="E11" s="10">
        <v>8</v>
      </c>
      <c r="F11" s="10">
        <v>80</v>
      </c>
      <c r="G11" s="10">
        <v>32</v>
      </c>
      <c r="H11" s="10" t="s">
        <v>25</v>
      </c>
      <c r="I11" s="10" t="s">
        <v>25</v>
      </c>
      <c r="J11" s="10">
        <f t="shared" si="0"/>
        <v>100</v>
      </c>
    </row>
    <row r="12" spans="1:10" ht="35.1" customHeight="1" x14ac:dyDescent="0.25">
      <c r="A12" s="10">
        <v>3</v>
      </c>
      <c r="B12" s="18" t="s">
        <v>52</v>
      </c>
      <c r="C12" s="10" t="s">
        <v>147</v>
      </c>
      <c r="D12" s="10">
        <v>20</v>
      </c>
      <c r="E12" s="10">
        <v>8</v>
      </c>
      <c r="F12" s="10">
        <v>80</v>
      </c>
      <c r="G12" s="10">
        <v>32</v>
      </c>
      <c r="H12" s="10" t="s">
        <v>25</v>
      </c>
      <c r="I12" s="10" t="s">
        <v>25</v>
      </c>
      <c r="J12" s="10">
        <f t="shared" si="0"/>
        <v>100</v>
      </c>
    </row>
    <row r="13" spans="1:10" ht="35.1" customHeight="1" x14ac:dyDescent="0.25">
      <c r="A13" s="10">
        <v>4</v>
      </c>
      <c r="B13" s="18" t="s">
        <v>73</v>
      </c>
      <c r="C13" s="10" t="s">
        <v>148</v>
      </c>
      <c r="D13" s="10">
        <v>20</v>
      </c>
      <c r="E13" s="10">
        <v>8</v>
      </c>
      <c r="F13" s="10">
        <v>80</v>
      </c>
      <c r="G13" s="10">
        <v>32</v>
      </c>
      <c r="H13" s="10" t="s">
        <v>25</v>
      </c>
      <c r="I13" s="10" t="s">
        <v>25</v>
      </c>
      <c r="J13" s="10">
        <f t="shared" si="0"/>
        <v>100</v>
      </c>
    </row>
    <row r="14" spans="1:10" ht="35.1" customHeight="1" x14ac:dyDescent="0.25">
      <c r="A14" s="10">
        <v>5</v>
      </c>
      <c r="B14" s="18" t="s">
        <v>178</v>
      </c>
      <c r="C14" s="10" t="s">
        <v>149</v>
      </c>
      <c r="D14" s="10" t="s">
        <v>25</v>
      </c>
      <c r="E14" s="10" t="s">
        <v>25</v>
      </c>
      <c r="F14" s="10" t="s">
        <v>25</v>
      </c>
      <c r="G14" s="10" t="s">
        <v>25</v>
      </c>
      <c r="H14" s="10" t="s">
        <v>85</v>
      </c>
      <c r="I14" s="10">
        <v>40</v>
      </c>
      <c r="J14" s="10">
        <v>100</v>
      </c>
    </row>
    <row r="15" spans="1:10" ht="35.1" customHeight="1" x14ac:dyDescent="0.25">
      <c r="A15" s="10">
        <v>6</v>
      </c>
      <c r="B15" s="9" t="s">
        <v>179</v>
      </c>
      <c r="C15" s="10" t="s">
        <v>150</v>
      </c>
      <c r="D15" s="10" t="s">
        <v>25</v>
      </c>
      <c r="E15" s="10" t="s">
        <v>25</v>
      </c>
      <c r="F15" s="10" t="s">
        <v>25</v>
      </c>
      <c r="G15" s="10" t="s">
        <v>25</v>
      </c>
      <c r="H15" s="10">
        <v>100</v>
      </c>
      <c r="I15" s="10">
        <v>40</v>
      </c>
      <c r="J15" s="10">
        <v>100</v>
      </c>
    </row>
    <row r="16" spans="1:10" ht="35.1" customHeight="1" x14ac:dyDescent="0.25">
      <c r="A16" s="10">
        <v>7</v>
      </c>
      <c r="B16" s="9" t="s">
        <v>224</v>
      </c>
      <c r="C16" s="10" t="s">
        <v>226</v>
      </c>
      <c r="D16" s="10" t="s">
        <v>25</v>
      </c>
      <c r="E16" s="10" t="s">
        <v>25</v>
      </c>
      <c r="F16" s="10">
        <v>80</v>
      </c>
      <c r="G16" s="10">
        <v>32</v>
      </c>
      <c r="H16" s="10" t="s">
        <v>229</v>
      </c>
      <c r="I16" s="10">
        <v>8</v>
      </c>
      <c r="J16" s="10">
        <v>100</v>
      </c>
    </row>
    <row r="17" spans="1:10" ht="35.1" customHeight="1" x14ac:dyDescent="0.25">
      <c r="A17" s="23" t="s">
        <v>26</v>
      </c>
      <c r="B17" s="24"/>
      <c r="C17" s="25"/>
      <c r="D17" s="11"/>
      <c r="E17" s="11"/>
      <c r="F17" s="11"/>
      <c r="G17" s="11"/>
      <c r="H17" s="11"/>
      <c r="I17" s="11"/>
      <c r="J17" s="11">
        <f>SUM(J10:J16)</f>
        <v>700</v>
      </c>
    </row>
    <row r="18" spans="1:10" ht="15.75" x14ac:dyDescent="0.25">
      <c r="B18" s="2" t="s">
        <v>86</v>
      </c>
    </row>
    <row r="19" spans="1:10" ht="15.75" x14ac:dyDescent="0.25">
      <c r="B19" s="14" t="s">
        <v>230</v>
      </c>
    </row>
    <row r="23" spans="1:10" ht="20.25" x14ac:dyDescent="0.3">
      <c r="A23" s="26" t="s">
        <v>0</v>
      </c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8.75" x14ac:dyDescent="0.25">
      <c r="A24" s="27" t="s">
        <v>1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8.75" x14ac:dyDescent="0.25">
      <c r="A25" s="27" t="s">
        <v>215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5.75" x14ac:dyDescent="0.25">
      <c r="A26" s="28" t="s">
        <v>13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7"/>
      <c r="B28" s="6" t="s">
        <v>87</v>
      </c>
      <c r="C28" s="6"/>
      <c r="D28" s="6" t="s">
        <v>156</v>
      </c>
      <c r="E28" s="6"/>
      <c r="F28" s="6"/>
      <c r="G28" s="6"/>
      <c r="H28" s="6" t="s">
        <v>157</v>
      </c>
      <c r="I28" s="6"/>
      <c r="J28" s="6"/>
    </row>
    <row r="29" spans="1:10" ht="15.75" x14ac:dyDescent="0.25">
      <c r="I29" s="29" t="s">
        <v>12</v>
      </c>
      <c r="J29" s="29"/>
    </row>
    <row r="30" spans="1:10" ht="35.1" customHeight="1" x14ac:dyDescent="0.25">
      <c r="A30" s="30" t="s">
        <v>2</v>
      </c>
      <c r="B30" s="30" t="s">
        <v>4</v>
      </c>
      <c r="C30" s="30" t="s">
        <v>5</v>
      </c>
      <c r="D30" s="22" t="s">
        <v>3</v>
      </c>
      <c r="E30" s="22"/>
      <c r="F30" s="22"/>
      <c r="G30" s="22"/>
      <c r="H30" s="22" t="s">
        <v>8</v>
      </c>
      <c r="I30" s="22"/>
      <c r="J30" s="22" t="s">
        <v>11</v>
      </c>
    </row>
    <row r="31" spans="1:10" ht="35.1" customHeight="1" x14ac:dyDescent="0.25">
      <c r="A31" s="31"/>
      <c r="B31" s="31"/>
      <c r="C31" s="31"/>
      <c r="D31" s="22" t="s">
        <v>6</v>
      </c>
      <c r="E31" s="22"/>
      <c r="F31" s="22" t="s">
        <v>7</v>
      </c>
      <c r="G31" s="22"/>
      <c r="H31" s="11" t="s">
        <v>9</v>
      </c>
      <c r="I31" s="11" t="s">
        <v>10</v>
      </c>
      <c r="J31" s="22"/>
    </row>
    <row r="32" spans="1:10" ht="35.1" customHeight="1" x14ac:dyDescent="0.25">
      <c r="A32" s="8">
        <v>1</v>
      </c>
      <c r="B32" s="9" t="s">
        <v>180</v>
      </c>
      <c r="C32" s="16" t="s">
        <v>151</v>
      </c>
      <c r="D32" s="10">
        <v>20</v>
      </c>
      <c r="E32" s="10">
        <v>8</v>
      </c>
      <c r="F32" s="10">
        <v>80</v>
      </c>
      <c r="G32" s="10">
        <v>32</v>
      </c>
      <c r="H32" s="10" t="s">
        <v>25</v>
      </c>
      <c r="I32" s="10" t="s">
        <v>25</v>
      </c>
      <c r="J32" s="10">
        <f t="shared" ref="J32:J35" si="1">D32+F32</f>
        <v>100</v>
      </c>
    </row>
    <row r="33" spans="1:10" ht="35.1" customHeight="1" x14ac:dyDescent="0.25">
      <c r="A33" s="8">
        <v>2</v>
      </c>
      <c r="B33" s="9" t="s">
        <v>181</v>
      </c>
      <c r="C33" s="16" t="s">
        <v>145</v>
      </c>
      <c r="D33" s="10">
        <v>20</v>
      </c>
      <c r="E33" s="10">
        <v>8</v>
      </c>
      <c r="F33" s="10">
        <v>80</v>
      </c>
      <c r="G33" s="10">
        <v>32</v>
      </c>
      <c r="H33" s="10" t="s">
        <v>25</v>
      </c>
      <c r="I33" s="10" t="s">
        <v>25</v>
      </c>
      <c r="J33" s="10">
        <f t="shared" si="1"/>
        <v>100</v>
      </c>
    </row>
    <row r="34" spans="1:10" ht="35.1" customHeight="1" x14ac:dyDescent="0.25">
      <c r="A34" s="8">
        <v>3</v>
      </c>
      <c r="B34" s="9" t="s">
        <v>18</v>
      </c>
      <c r="C34" s="16" t="s">
        <v>152</v>
      </c>
      <c r="D34" s="10">
        <v>20</v>
      </c>
      <c r="E34" s="10">
        <v>8</v>
      </c>
      <c r="F34" s="10">
        <v>80</v>
      </c>
      <c r="G34" s="10">
        <v>32</v>
      </c>
      <c r="H34" s="10" t="s">
        <v>25</v>
      </c>
      <c r="I34" s="10" t="s">
        <v>25</v>
      </c>
      <c r="J34" s="10">
        <f t="shared" si="1"/>
        <v>100</v>
      </c>
    </row>
    <row r="35" spans="1:10" ht="35.1" customHeight="1" x14ac:dyDescent="0.25">
      <c r="A35" s="8">
        <v>4</v>
      </c>
      <c r="B35" s="9" t="s">
        <v>182</v>
      </c>
      <c r="C35" s="16" t="s">
        <v>153</v>
      </c>
      <c r="D35" s="10">
        <v>20</v>
      </c>
      <c r="E35" s="10">
        <v>8</v>
      </c>
      <c r="F35" s="10">
        <v>80</v>
      </c>
      <c r="G35" s="10">
        <v>32</v>
      </c>
      <c r="H35" s="10" t="s">
        <v>25</v>
      </c>
      <c r="I35" s="10" t="s">
        <v>25</v>
      </c>
      <c r="J35" s="10">
        <f t="shared" si="1"/>
        <v>100</v>
      </c>
    </row>
    <row r="36" spans="1:10" ht="35.1" customHeight="1" x14ac:dyDescent="0.25">
      <c r="A36" s="8">
        <v>5</v>
      </c>
      <c r="B36" s="9" t="s">
        <v>183</v>
      </c>
      <c r="C36" s="16" t="s">
        <v>154</v>
      </c>
      <c r="D36" s="10" t="s">
        <v>25</v>
      </c>
      <c r="E36" s="10" t="s">
        <v>25</v>
      </c>
      <c r="F36" s="10" t="s">
        <v>25</v>
      </c>
      <c r="G36" s="10" t="s">
        <v>25</v>
      </c>
      <c r="H36" s="10" t="s">
        <v>85</v>
      </c>
      <c r="I36" s="10">
        <v>40</v>
      </c>
      <c r="J36" s="10">
        <v>100</v>
      </c>
    </row>
    <row r="37" spans="1:10" ht="35.1" customHeight="1" x14ac:dyDescent="0.25">
      <c r="A37" s="8">
        <v>6</v>
      </c>
      <c r="B37" s="9" t="s">
        <v>179</v>
      </c>
      <c r="C37" s="16" t="s">
        <v>155</v>
      </c>
      <c r="D37" s="10" t="s">
        <v>25</v>
      </c>
      <c r="E37" s="10" t="s">
        <v>25</v>
      </c>
      <c r="F37" s="10" t="s">
        <v>25</v>
      </c>
      <c r="G37" s="10" t="s">
        <v>25</v>
      </c>
      <c r="H37" s="10">
        <v>100</v>
      </c>
      <c r="I37" s="10">
        <v>40</v>
      </c>
      <c r="J37" s="10">
        <v>100</v>
      </c>
    </row>
    <row r="38" spans="1:10" ht="35.1" customHeight="1" x14ac:dyDescent="0.25">
      <c r="A38" s="8">
        <v>7</v>
      </c>
      <c r="B38" s="12" t="s">
        <v>225</v>
      </c>
      <c r="C38" s="16" t="s">
        <v>227</v>
      </c>
      <c r="D38" s="10">
        <v>20</v>
      </c>
      <c r="E38" s="10">
        <v>8</v>
      </c>
      <c r="F38" s="10">
        <v>80</v>
      </c>
      <c r="G38" s="10">
        <v>32</v>
      </c>
      <c r="H38" s="10" t="s">
        <v>25</v>
      </c>
      <c r="I38" s="10" t="s">
        <v>25</v>
      </c>
      <c r="J38" s="10">
        <f t="shared" ref="J38" si="2">D38+F38</f>
        <v>100</v>
      </c>
    </row>
    <row r="39" spans="1:10" ht="35.1" customHeight="1" x14ac:dyDescent="0.25">
      <c r="A39" s="23" t="s">
        <v>26</v>
      </c>
      <c r="B39" s="24"/>
      <c r="C39" s="25"/>
      <c r="D39" s="11"/>
      <c r="E39" s="11"/>
      <c r="F39" s="11"/>
      <c r="G39" s="11"/>
      <c r="H39" s="11"/>
      <c r="I39" s="11"/>
      <c r="J39" s="11">
        <f>SUM(J32:J38)</f>
        <v>700</v>
      </c>
    </row>
    <row r="40" spans="1:10" ht="15.75" x14ac:dyDescent="0.25">
      <c r="B40" s="2" t="s">
        <v>86</v>
      </c>
    </row>
  </sheetData>
  <mergeCells count="28">
    <mergeCell ref="A1:J1"/>
    <mergeCell ref="A2:J2"/>
    <mergeCell ref="A4:J4"/>
    <mergeCell ref="I7:J7"/>
    <mergeCell ref="A8:A9"/>
    <mergeCell ref="B8:B9"/>
    <mergeCell ref="C8:C9"/>
    <mergeCell ref="D8:G8"/>
    <mergeCell ref="H8:I8"/>
    <mergeCell ref="J8:J9"/>
    <mergeCell ref="D9:E9"/>
    <mergeCell ref="F9:G9"/>
    <mergeCell ref="A3:J3"/>
    <mergeCell ref="A17:C17"/>
    <mergeCell ref="A23:J23"/>
    <mergeCell ref="A24:J24"/>
    <mergeCell ref="A25:J25"/>
    <mergeCell ref="A39:C39"/>
    <mergeCell ref="I29:J29"/>
    <mergeCell ref="A30:A31"/>
    <mergeCell ref="B30:B31"/>
    <mergeCell ref="C30:C31"/>
    <mergeCell ref="D30:G30"/>
    <mergeCell ref="H30:I30"/>
    <mergeCell ref="J30:J31"/>
    <mergeCell ref="D31:E31"/>
    <mergeCell ref="F31:G31"/>
    <mergeCell ref="A26:J26"/>
  </mergeCells>
  <phoneticPr fontId="8" type="noConversion"/>
  <pageMargins left="0.25" right="0.25" top="0.75" bottom="0.75" header="0.3" footer="0.3"/>
  <pageSetup paperSize="9" scale="83" fitToHeight="0" orientation="portrait" verticalDpi="0" r:id="rId1"/>
  <rowBreaks count="1" manualBreakCount="1">
    <brk id="22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LLB I &amp; II Sem</vt:lpstr>
      <vt:lpstr>LLB III &amp; IV Sem</vt:lpstr>
      <vt:lpstr>LLB V &amp; VI Sem</vt:lpstr>
      <vt:lpstr>BALLB I &amp; II Sem</vt:lpstr>
      <vt:lpstr>BA LLB III &amp; IV Sem</vt:lpstr>
      <vt:lpstr>BA LLB V &amp; VI</vt:lpstr>
      <vt:lpstr>BA LLB VII &amp; VIII</vt:lpstr>
      <vt:lpstr>BA LLB XI &amp; X</vt:lpstr>
      <vt:lpstr>'BA LLB III &amp; IV Sem'!Print_Area</vt:lpstr>
      <vt:lpstr>'BA LLB V &amp; VI'!Print_Area</vt:lpstr>
      <vt:lpstr>'BA LLB VII &amp; VIII'!Print_Area</vt:lpstr>
      <vt:lpstr>'BA LLB XI &amp; X'!Print_Area</vt:lpstr>
      <vt:lpstr>'BALLB I &amp; II Sem'!Print_Area</vt:lpstr>
      <vt:lpstr>'LLB I &amp; II Sem'!Print_Area</vt:lpstr>
      <vt:lpstr>'LLB III &amp; IV Sem'!Print_Area</vt:lpstr>
      <vt:lpstr>'LLB V &amp; VI Sem'!Print_Area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dcpandeyias@gmail.com</cp:lastModifiedBy>
  <cp:lastPrinted>2024-08-30T06:29:11Z</cp:lastPrinted>
  <dcterms:created xsi:type="dcterms:W3CDTF">2015-06-05T18:17:20Z</dcterms:created>
  <dcterms:modified xsi:type="dcterms:W3CDTF">2024-09-28T07:02:28Z</dcterms:modified>
</cp:coreProperties>
</file>